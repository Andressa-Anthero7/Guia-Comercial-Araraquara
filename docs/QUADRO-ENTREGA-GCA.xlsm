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BC183D61-7F50-4A8A-A623-CA004C8C33B9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Painel" sheetId="1" r:id="rId1"/>
    <sheet name="Quadro" sheetId="2" r:id="rId2"/>
    <sheet name="Kanban" sheetId="3" r:id="rId3"/>
    <sheet name="Como usar" sheetId="4" r:id="rId4"/>
    <sheet name="Base da auditoria" sheetId="5" r:id="rId5"/>
  </sheets>
  <definedNames>
    <definedName name="_xlnm.Print_Area" localSheetId="0">Painel!$A$1:$L$32</definedName>
    <definedName name="_xlnm.Print_Titles" localSheetId="4">'Base da auditoria'!$1:$5</definedName>
    <definedName name="_xlnm.Print_Titles" localSheetId="3">'Como usar'!$1:$5</definedName>
    <definedName name="_xlnm.Print_Titles" localSheetId="2">Kanban!$1:$5</definedName>
    <definedName name="_xlnm.Print_Titles" localSheetId="0">Painel!$1:$5</definedName>
    <definedName name="_xlnm.Print_Titles" localSheetId="1">Quadro!$1:$5</definedName>
  </definedNames>
  <calcPr calcId="181029"/>
</workbook>
</file>

<file path=xl/calcChain.xml><?xml version="1.0" encoding="utf-8"?>
<calcChain xmlns="http://schemas.openxmlformats.org/spreadsheetml/2006/main">
  <c r="F53" i="3" l="1"/>
  <c r="E53" i="3"/>
  <c r="D53" i="3"/>
  <c r="C53" i="3"/>
  <c r="B53" i="3"/>
  <c r="A53" i="3"/>
  <c r="F52" i="3"/>
  <c r="E52" i="3"/>
  <c r="D52" i="3"/>
  <c r="C52" i="3"/>
  <c r="B52" i="3"/>
  <c r="A52" i="3"/>
  <c r="F51" i="3"/>
  <c r="E51" i="3"/>
  <c r="D51" i="3"/>
  <c r="C51" i="3"/>
  <c r="B51" i="3"/>
  <c r="A51" i="3"/>
  <c r="F50" i="3"/>
  <c r="E50" i="3"/>
  <c r="D50" i="3"/>
  <c r="C50" i="3"/>
  <c r="B50" i="3"/>
  <c r="A50" i="3"/>
  <c r="F49" i="3"/>
  <c r="E49" i="3"/>
  <c r="D49" i="3"/>
  <c r="C49" i="3"/>
  <c r="B49" i="3"/>
  <c r="A49" i="3"/>
  <c r="F48" i="3"/>
  <c r="E48" i="3"/>
  <c r="D48" i="3"/>
  <c r="C48" i="3"/>
  <c r="B48" i="3"/>
  <c r="A48" i="3"/>
  <c r="F47" i="3"/>
  <c r="E47" i="3"/>
  <c r="D47" i="3"/>
  <c r="C47" i="3"/>
  <c r="B47" i="3"/>
  <c r="A47" i="3"/>
  <c r="F46" i="3"/>
  <c r="E46" i="3"/>
  <c r="D46" i="3"/>
  <c r="C46" i="3"/>
  <c r="B46" i="3"/>
  <c r="A46" i="3"/>
  <c r="F45" i="3"/>
  <c r="E45" i="3"/>
  <c r="D45" i="3"/>
  <c r="C45" i="3"/>
  <c r="B45" i="3"/>
  <c r="A45" i="3"/>
  <c r="F44" i="3"/>
  <c r="E44" i="3"/>
  <c r="D44" i="3"/>
  <c r="C44" i="3"/>
  <c r="B44" i="3"/>
  <c r="A44" i="3"/>
  <c r="F43" i="3"/>
  <c r="E43" i="3"/>
  <c r="D43" i="3"/>
  <c r="C43" i="3"/>
  <c r="B43" i="3"/>
  <c r="A43" i="3"/>
  <c r="F42" i="3"/>
  <c r="E42" i="3"/>
  <c r="D42" i="3"/>
  <c r="C42" i="3"/>
  <c r="B42" i="3"/>
  <c r="A42" i="3"/>
  <c r="F41" i="3"/>
  <c r="E41" i="3"/>
  <c r="D41" i="3"/>
  <c r="C41" i="3"/>
  <c r="B41" i="3"/>
  <c r="A41" i="3"/>
  <c r="F40" i="3"/>
  <c r="E40" i="3"/>
  <c r="D40" i="3"/>
  <c r="C40" i="3"/>
  <c r="B40" i="3"/>
  <c r="A40" i="3"/>
  <c r="F39" i="3"/>
  <c r="E39" i="3"/>
  <c r="D39" i="3"/>
  <c r="C39" i="3"/>
  <c r="B39" i="3"/>
  <c r="A39" i="3"/>
  <c r="F38" i="3"/>
  <c r="E38" i="3"/>
  <c r="D38" i="3"/>
  <c r="C38" i="3"/>
  <c r="B38" i="3"/>
  <c r="A38" i="3"/>
  <c r="F37" i="3"/>
  <c r="E37" i="3"/>
  <c r="D37" i="3"/>
  <c r="C37" i="3"/>
  <c r="B37" i="3"/>
  <c r="A37" i="3"/>
  <c r="F36" i="3"/>
  <c r="E36" i="3"/>
  <c r="D36" i="3"/>
  <c r="C36" i="3"/>
  <c r="B36" i="3"/>
  <c r="A36" i="3"/>
  <c r="F35" i="3"/>
  <c r="E35" i="3"/>
  <c r="D35" i="3"/>
  <c r="C35" i="3"/>
  <c r="B35" i="3"/>
  <c r="A35" i="3"/>
  <c r="F34" i="3"/>
  <c r="E34" i="3"/>
  <c r="D34" i="3"/>
  <c r="C34" i="3"/>
  <c r="B34" i="3"/>
  <c r="A34" i="3"/>
  <c r="F33" i="3"/>
  <c r="E33" i="3"/>
  <c r="D33" i="3"/>
  <c r="C33" i="3"/>
  <c r="B33" i="3"/>
  <c r="A33" i="3"/>
  <c r="F32" i="3"/>
  <c r="E32" i="3"/>
  <c r="D32" i="3"/>
  <c r="C32" i="3"/>
  <c r="B32" i="3"/>
  <c r="A32" i="3"/>
  <c r="F31" i="3"/>
  <c r="E31" i="3"/>
  <c r="D31" i="3"/>
  <c r="C31" i="3"/>
  <c r="B31" i="3"/>
  <c r="A31" i="3"/>
  <c r="F30" i="3"/>
  <c r="E30" i="3"/>
  <c r="D30" i="3"/>
  <c r="C30" i="3"/>
  <c r="B30" i="3"/>
  <c r="A30" i="3"/>
  <c r="F29" i="3"/>
  <c r="E29" i="3"/>
  <c r="D29" i="3"/>
  <c r="C29" i="3"/>
  <c r="B29" i="3"/>
  <c r="A29" i="3"/>
  <c r="F28" i="3"/>
  <c r="E28" i="3"/>
  <c r="D28" i="3"/>
  <c r="C28" i="3"/>
  <c r="B28" i="3"/>
  <c r="A28" i="3"/>
  <c r="F27" i="3"/>
  <c r="E27" i="3"/>
  <c r="D27" i="3"/>
  <c r="C27" i="3"/>
  <c r="B27" i="3"/>
  <c r="A27" i="3"/>
  <c r="F26" i="3"/>
  <c r="E26" i="3"/>
  <c r="D26" i="3"/>
  <c r="C26" i="3"/>
  <c r="B26" i="3"/>
  <c r="A26" i="3"/>
  <c r="F25" i="3"/>
  <c r="E25" i="3"/>
  <c r="D25" i="3"/>
  <c r="C25" i="3"/>
  <c r="B25" i="3"/>
  <c r="A25" i="3"/>
  <c r="F24" i="3"/>
  <c r="E24" i="3"/>
  <c r="D24" i="3"/>
  <c r="C24" i="3"/>
  <c r="B24" i="3"/>
  <c r="A24" i="3"/>
  <c r="F23" i="3"/>
  <c r="E23" i="3"/>
  <c r="D23" i="3"/>
  <c r="C23" i="3"/>
  <c r="B23" i="3"/>
  <c r="A23" i="3"/>
  <c r="F22" i="3"/>
  <c r="E22" i="3"/>
  <c r="D22" i="3"/>
  <c r="C22" i="3"/>
  <c r="B22" i="3"/>
  <c r="A22" i="3"/>
  <c r="F21" i="3"/>
  <c r="E21" i="3"/>
  <c r="D21" i="3"/>
  <c r="C21" i="3"/>
  <c r="B21" i="3"/>
  <c r="A21" i="3"/>
  <c r="F20" i="3"/>
  <c r="E20" i="3"/>
  <c r="D20" i="3"/>
  <c r="C20" i="3"/>
  <c r="B20" i="3"/>
  <c r="A20" i="3"/>
  <c r="F19" i="3"/>
  <c r="E19" i="3"/>
  <c r="D19" i="3"/>
  <c r="C19" i="3"/>
  <c r="B19" i="3"/>
  <c r="A19" i="3"/>
  <c r="F18" i="3"/>
  <c r="E18" i="3"/>
  <c r="D18" i="3"/>
  <c r="C18" i="3"/>
  <c r="B18" i="3"/>
  <c r="A18" i="3"/>
  <c r="F17" i="3"/>
  <c r="E17" i="3"/>
  <c r="D17" i="3"/>
  <c r="C17" i="3"/>
  <c r="B17" i="3"/>
  <c r="A17" i="3"/>
  <c r="F16" i="3"/>
  <c r="E16" i="3"/>
  <c r="D16" i="3"/>
  <c r="C16" i="3"/>
  <c r="B16" i="3"/>
  <c r="A16" i="3"/>
  <c r="F15" i="3"/>
  <c r="E15" i="3"/>
  <c r="D15" i="3"/>
  <c r="C15" i="3"/>
  <c r="B15" i="3"/>
  <c r="A15" i="3"/>
  <c r="F14" i="3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D22" i="1"/>
  <c r="D21" i="1"/>
  <c r="D20" i="1"/>
  <c r="D19" i="1"/>
  <c r="D18" i="1"/>
  <c r="D17" i="1"/>
  <c r="A12" i="1"/>
  <c r="I9" i="1"/>
  <c r="I5" i="1"/>
  <c r="E5" i="1"/>
  <c r="A5" i="1"/>
  <c r="E9" i="1" l="1"/>
  <c r="A9" i="1"/>
</calcChain>
</file>

<file path=xl/sharedStrings.xml><?xml version="1.0" encoding="utf-8"?>
<sst xmlns="http://schemas.openxmlformats.org/spreadsheetml/2006/main" count="736" uniqueCount="432">
  <si>
    <t>GCA | CENTRAL DE ENTREGA</t>
  </si>
  <si>
    <t>Comece pelo Quadro. Altere status, responsável e prazo; indicadores e cartões acompanham o trabalho.</t>
  </si>
  <si>
    <t>TAREFAS</t>
  </si>
  <si>
    <t>CONCLUÍDAS</t>
  </si>
  <si>
    <t>CRÍTICAS EM ABERTO</t>
  </si>
  <si>
    <t>ATRASADAS</t>
  </si>
  <si>
    <t>ATIVAS SEM PRAZO</t>
  </si>
  <si>
    <t>PROGRESSO DO ESCOPO ATIVO</t>
  </si>
  <si>
    <t>Status</t>
  </si>
  <si>
    <t>Quantidade</t>
  </si>
  <si>
    <t>Não iniciado</t>
  </si>
  <si>
    <t>Em andamento</t>
  </si>
  <si>
    <t>Bloqueado</t>
  </si>
  <si>
    <t>Em validação</t>
  </si>
  <si>
    <t>Concluído</t>
  </si>
  <si>
    <t>Em espera</t>
  </si>
  <si>
    <t>PRIMEIRO PASSO: definir responsáveis nominais e prazos para T01 (SSL), T03 (DEBUG) e T20 (escopo). Em seguida, executar conforme pré-requisitos.</t>
  </si>
  <si>
    <t>O progresso inclui correções locais já verificadas. Não mede percentual de funcionalidades funcionando em produção. Itens opcionais/em espera ficam fora do denominador.</t>
  </si>
  <si>
    <t>Para retirar uma homologação da entrega, registre a decisão do cliente e mude o escopo para Opcional. Não marque como Concluído algo apenas adiado. Pré-requisitos são orientações e não bloqueiam edição.</t>
  </si>
  <si>
    <t>QUADRO DE EXECUÇÃO</t>
  </si>
  <si>
    <t>Filtros no cabeçalho • Responsáveis sugeridos por função • Prazos em branco para combinar • Colunas cinza calculadas.</t>
  </si>
  <si>
    <t>ID</t>
  </si>
  <si>
    <t>Etapa</t>
  </si>
  <si>
    <t>Tarefa</t>
  </si>
  <si>
    <t>Prioridade</t>
  </si>
  <si>
    <t>Responsável</t>
  </si>
  <si>
    <t>Prazo</t>
  </si>
  <si>
    <t>Dias restantes</t>
  </si>
  <si>
    <t>Pré-requisitos</t>
  </si>
  <si>
    <t>Condição</t>
  </si>
  <si>
    <t>Próxima ação</t>
  </si>
  <si>
    <t>Critério de conclusão</t>
  </si>
  <si>
    <t>Evidência / link</t>
  </si>
  <si>
    <t>Crítico</t>
  </si>
  <si>
    <t>Escopo</t>
  </si>
  <si>
    <t>Concluído em</t>
  </si>
  <si>
    <t>T01</t>
  </si>
  <si>
    <t>01 · Infraestrutura</t>
  </si>
  <si>
    <t>Restaurar HTTPS dos dois subdomínios</t>
  </si>
  <si>
    <t>Crítica</t>
  </si>
  <si>
    <t>Hospedagem</t>
  </si>
  <si>
    <t>Barbearia Alcântara e M Espetinhos abrem por HTTPS sem erro de certificado. Domínio principal preservado.</t>
  </si>
  <si>
    <t>Sim</t>
  </si>
  <si>
    <t>Essencial</t>
  </si>
  <si>
    <t>T02</t>
  </si>
  <si>
    <t>Persistir SSL e definir renovação</t>
  </si>
  <si>
    <t>Reaplicação da configuração não substitui o wildcard; responsável e renovação definidos.</t>
  </si>
  <si>
    <t>T03</t>
  </si>
  <si>
    <t>Desativar DEBUG de produção de forma persistente</t>
  </si>
  <si>
    <t>Desenvolvimento</t>
  </si>
  <si>
    <t>Rota inexistente retorna 404 sem página técnica tanto no domínio público quanto na API direta.</t>
  </si>
  <si>
    <t>T04</t>
  </si>
  <si>
    <t>Disponibilizar PostgreSQL</t>
  </si>
  <si>
    <t>Alta</t>
  </si>
  <si>
    <t>Responsável do projeto</t>
  </si>
  <si>
    <t>Banco acessível pela API com credenciais fora do repositório.</t>
  </si>
  <si>
    <t>Não</t>
  </si>
  <si>
    <t>T05</t>
  </si>
  <si>
    <t>Migrar dados e imagens para PostgreSQL</t>
  </si>
  <si>
    <t>Contagens, vínculos e imagens conferidos; aplicação funciona no PostgreSQL; reversão documentada.</t>
  </si>
  <si>
    <t>T06</t>
  </si>
  <si>
    <t>Comprovar backup externo e recuperação</t>
  </si>
  <si>
    <t>Cópia externa recuperável, prazo de retenção e responsável documentados; banco ativo preservado.</t>
  </si>
  <si>
    <t>T07</t>
  </si>
  <si>
    <t>02 · Produto</t>
  </si>
  <si>
    <t>Corrigir interesse e contadores de eventos</t>
  </si>
  <si>
    <t>Nenhum número inventado; comportamento definido, implementado e testado.</t>
  </si>
  <si>
    <t>T08</t>
  </si>
  <si>
    <t>Configurar serviço de e-mail</t>
  </si>
  <si>
    <t>Aplicação consegue enviar mensagem para endereço de teste; segredo não registrado na planilha.</t>
  </si>
  <si>
    <t>Homologação</t>
  </si>
  <si>
    <t>T09</t>
  </si>
  <si>
    <t>03 · Homologação</t>
  </si>
  <si>
    <t>Homologar recuperação de senha por e-mail</t>
  </si>
  <si>
    <t>QA / responsável do projeto</t>
  </si>
  <si>
    <t>Mensagem recebida, domínio correto, nova senha aceita, token reutilizado recusado.</t>
  </si>
  <si>
    <t>T10</t>
  </si>
  <si>
    <t>Testar upload de fotos pelo painel do anunciante</t>
  </si>
  <si>
    <t>Fotos persistem após recarregar; página pública exibe o correto; limites e titularidade respeitados.</t>
  </si>
  <si>
    <t>T11</t>
  </si>
  <si>
    <t>Homologar todos os benefícios dos planos</t>
  </si>
  <si>
    <t>Imagens, anúncios, cupons, destaque, marketing e página própria obedecem ao contrato sem apagar histórico.</t>
  </si>
  <si>
    <t>T12</t>
  </si>
  <si>
    <t>Homologar agendamento e pausa de anúncios</t>
  </si>
  <si>
    <t>Anúncio futuro/pausado/expirado não vaza no catálogo, detalhe, fotos, cupons ou avaliações.</t>
  </si>
  <si>
    <t>T13</t>
  </si>
  <si>
    <t>Preparar operação da cobrança recorrente</t>
  </si>
  <si>
    <t>Rotina monitorada; não duplica cobranças, preserva pagamentos e respeita regras contratuais.</t>
  </si>
  <si>
    <t>T14</t>
  </si>
  <si>
    <t>Comprovar marketing nas plataformas externas</t>
  </si>
  <si>
    <t>Média</t>
  </si>
  <si>
    <t>Marketing / responsável do projeto</t>
  </si>
  <si>
    <t>Eventos chegam ao destino da empresa correta, sem atribuição a outra empresa.</t>
  </si>
  <si>
    <t>T15</t>
  </si>
  <si>
    <t>Comprovar notificações e push em dispositivo</t>
  </si>
  <si>
    <t>Cadastro gera alerta; leitura funciona; dispositivo recebe push e abre destino correto.</t>
  </si>
  <si>
    <t>T16</t>
  </si>
  <si>
    <t>Homologar aplicativo Android</t>
  </si>
  <si>
    <t>Versão, instalação, navegação, login e notificações documentados em dispositivo.</t>
  </si>
  <si>
    <t>T17</t>
  </si>
  <si>
    <t>Preparar conteúdo real de cupons, eventos e telefones</t>
  </si>
  <si>
    <t>Conteúdo / cliente</t>
  </si>
  <si>
    <t>Solicitar conteúdo aprovado e definir quais seções serão usadas na entrega.</t>
  </si>
  <si>
    <t>Seções acordadas têm dados reais conferidos; nenhuma demonstração é apresentada como conteúdo real.</t>
  </si>
  <si>
    <t>T18</t>
  </si>
  <si>
    <t>Confirmar contato comercial do rodapé</t>
  </si>
  <si>
    <t>Conferir com o responsável o número comercial fixo e atualizar se necessário.</t>
  </si>
  <si>
    <t>Link comercial aponta para o canal oficial confirmado.</t>
  </si>
  <si>
    <t>T19</t>
  </si>
  <si>
    <t>Revisar cadastros duplicados de anunciantes</t>
  </si>
  <si>
    <t>Identificar o cadastro válido e seus vínculos antes de propor consolidação.</t>
  </si>
  <si>
    <t>Decisão registrada; contas, empresas e histórico preservados. Não excluir automaticamente.</t>
  </si>
  <si>
    <t>T20</t>
  </si>
  <si>
    <t>04 · Publicação</t>
  </si>
  <si>
    <t>Definir escopo final da entrega</t>
  </si>
  <si>
    <t>Escopo registrado; itens fora da entrega identificados; pagamentos permanecem em espera.</t>
  </si>
  <si>
    <t>T21</t>
  </si>
  <si>
    <t>Revisar alterações e preparar versão de entrega</t>
  </si>
  <si>
    <t>Pacote reproduzível com versão própria; migrações 0015/0016 revisadas quando incluídas; trabalho anterior preservado.</t>
  </si>
  <si>
    <t>T22</t>
  </si>
  <si>
    <t>Validar pacote e CI da versão escolhida</t>
  </si>
  <si>
    <t>TypeScript, build, API, navegador e integração aprovados na versão candidata.</t>
  </si>
  <si>
    <t>T23</t>
  </si>
  <si>
    <t>Preparar backup, janela e reversão do deploy</t>
  </si>
  <si>
    <t>Plano concreto revisado, backup identificado e restauração/reversão viável antes da instalação.</t>
  </si>
  <si>
    <t>T24</t>
  </si>
  <si>
    <t>Publicar versão validada</t>
  </si>
  <si>
    <t>T01, T02, T03, T05, T07, T10, T11, T12, T17, T18, T23</t>
  </si>
  <si>
    <t>Versão instalada, migrações aplicadas e serviços respondendo; registro de implantação disponível.</t>
  </si>
  <si>
    <t>T25</t>
  </si>
  <si>
    <t>Conferir produção depois da publicação</t>
  </si>
  <si>
    <t>Fluxos do escopo funcionam em desktop/celular na versão publicada, com evidências.</t>
  </si>
  <si>
    <t>T26</t>
  </si>
  <si>
    <t>Ativar monitoramento e testar alerta</t>
  </si>
  <si>
    <t>Disponibilidade, SSL e DEBUG monitorados; responsável recebe e reconhece alerta.</t>
  </si>
  <si>
    <t>T27</t>
  </si>
  <si>
    <t>05 · Entrega</t>
  </si>
  <si>
    <t>Formalizar acessos e responsáveis pela operação</t>
  </si>
  <si>
    <t>Definir responsável por administração, hospedagem, backups e suporte; entregar acessos por canal seguro.</t>
  </si>
  <si>
    <t>Responsabilidades aceitas e acessos conferidos; nenhuma senha armazenada neste arquivo.</t>
  </si>
  <si>
    <t>T28</t>
  </si>
  <si>
    <t>Obter aceite final do cliente</t>
  </si>
  <si>
    <t>T06, T09, T13, T14, T15, T16, T19, T25, T26, T27</t>
  </si>
  <si>
    <t>Bloqueios essenciais encerrados; evidências disponíveis; limitações e aceite documentados.</t>
  </si>
  <si>
    <t>T29</t>
  </si>
  <si>
    <t>06 · Evoluções</t>
  </si>
  <si>
    <t>Planejar SEO e prévias de compartilhamento</t>
  </si>
  <si>
    <t>Definir metadados por empresa e validar como as páginas aparecem em busca/compartilhamento.</t>
  </si>
  <si>
    <t>Títulos e prévias corretos por empresa, com evidência de validação.</t>
  </si>
  <si>
    <t>Opcional</t>
  </si>
  <si>
    <t>T30</t>
  </si>
  <si>
    <t>Avaliar carga, paginação e crescimento</t>
  </si>
  <si>
    <t>Definir volume esperado e executar ensaio de carga em ambiente adequado.</t>
  </si>
  <si>
    <t>Metas de resposta e concorrência registradas; gargalos tratados conforme necessidade.</t>
  </si>
  <si>
    <t>T31</t>
  </si>
  <si>
    <t>Pagamento integrado PIX, boleto ou cartão</t>
  </si>
  <si>
    <t>Baixa</t>
  </si>
  <si>
    <t>Manter fora da entrega até decisão explícita de retomada.</t>
  </si>
  <si>
    <t>Se retomado: provedor/escopo definidos e emissão/confirmação homologadas.</t>
  </si>
  <si>
    <t>T32</t>
  </si>
  <si>
    <t>00 · Já verificado</t>
  </si>
  <si>
    <t>Corrigir tipagem da seção de cupons</t>
  </si>
  <si>
    <t>Preservar evidência; alterações de código ainda precisam da publicação separada.</t>
  </si>
  <si>
    <t>Propriedade indevida de fotos removida; TypeScript final aprovado.</t>
  </si>
  <si>
    <t>docs/records/2026-09-22/validation.json</t>
  </si>
  <si>
    <t>T33</t>
  </si>
  <si>
    <t>Corrigir autenticação durante carregamento das telas</t>
  </si>
  <si>
    <t>Três regressões de login corrigidas e aprovadas novamente na rodada completa.</t>
  </si>
  <si>
    <t>T34</t>
  </si>
  <si>
    <t>Estabilizar testes Vite/TypeScript no Windows</t>
  </si>
  <si>
    <t>Artefatos Android excluídos; execução de navegador repetida com sucesso.</t>
  </si>
  <si>
    <t>T35</t>
  </si>
  <si>
    <t>Ajustar formulário de fotos para celular de 320 px</t>
  </si>
  <si>
    <t>Cenário móvel corrigido e aprovado em reteste específico.</t>
  </si>
  <si>
    <t>T36</t>
  </si>
  <si>
    <t>Corrigir confirmação da cópia de telefone</t>
  </si>
  <si>
    <t>Teste de recusa e sucesso de clipboard aprovado.</t>
  </si>
  <si>
    <t>T37</t>
  </si>
  <si>
    <t>Executar auditoria e testes locais</t>
  </si>
  <si>
    <t>T38</t>
  </si>
  <si>
    <t>Verificar backup periódico atual</t>
  </si>
  <si>
    <t>13 cópias; última de 22/09/2026 às 06:30 UTC, integridade ok e metadado de restauração aprovada.</t>
  </si>
  <si>
    <t>docs/records/2026-09-22/backup-audit.json</t>
  </si>
  <si>
    <t>KANBAN | VISÃO POR STATUS</t>
  </si>
  <si>
    <t>Cartões atualizados a partir do Quadro. Edite somente o Quadro; filtros e fórmulas não executam tarefas.</t>
  </si>
  <si>
    <t>SEU ROTEIRO DE TRABALHO</t>
  </si>
  <si>
    <t>Fluxo sugerido: triagem → execução → validação → publicação → aceite.</t>
  </si>
  <si>
    <t>Passo</t>
  </si>
  <si>
    <t>O que fazer</t>
  </si>
  <si>
    <t>Orientação</t>
  </si>
  <si>
    <t>1 · Preparar</t>
  </si>
  <si>
    <t>Abra Quadro e substitua as funções por nomes reais.</t>
  </si>
  <si>
    <t>Responsáveis por função são sugestões, não designações comunicadas. Defina prazos reais; nenhum compromisso foi inventado.</t>
  </si>
  <si>
    <t>2 · Priorizar</t>
  </si>
  <si>
    <t>Filtre Prioridade = Crítica.</t>
  </si>
  <si>
    <t>Comece por T01 e T03; combine com o responsável da hospedagem. T02 garante persistência e renovação do SSL.</t>
  </si>
  <si>
    <t>3 · Executar</t>
  </si>
  <si>
    <t>Leia Próxima ação e Pré-requisitos; mude para Em andamento.</t>
  </si>
  <si>
    <t>Cada ID corresponde a uma tarefa. Pré-requisitos são IDs separados por vírgula; não há impedimento automático de edição.</t>
  </si>
  <si>
    <t>4 · Validar</t>
  </si>
  <si>
    <t>Mude para Em validação e confira o Critério de conclusão.</t>
  </si>
  <si>
    <t>A evidência deve demonstrar o resultado: teste, registro, link, captura ou aceite. Não basta implementar o código.</t>
  </si>
  <si>
    <t>5 · Concluir</t>
  </si>
  <si>
    <t>Preencha Evidência / link e Concluído em; selecione Concluído.</t>
  </si>
  <si>
    <t>Concluído sem evidência ou data gera alerta na coluna Condição. A data é manual; não há macro para preenchê-la.</t>
  </si>
  <si>
    <t>6 · Destravar</t>
  </si>
  <si>
    <t>Para Bloqueado, descreva o impedimento em Próxima ação.</t>
  </si>
  <si>
    <t>Indique de quem depende e qual informação/acesso falta. Não coloque senhas ou chaves na planilha.</t>
  </si>
  <si>
    <t>7 · Acompanhar</t>
  </si>
  <si>
    <t>Use Painel para os totais e Kanban para cartões por status.</t>
  </si>
  <si>
    <t>Prazos vencidos são calculados com a data atual. As contagens usam a tabela Tarefas e acompanham linhas adicionadas à tabela.</t>
  </si>
  <si>
    <t>8 · Escopo</t>
  </si>
  <si>
    <t>T20 define o que entra na entrega.</t>
  </si>
  <si>
    <t>Essencial e Homologação entram no progresso. Opcional e Em espera ficam fora. Homologação exige comprovação antes de ser prometida.</t>
  </si>
  <si>
    <t>9 · Publicar</t>
  </si>
  <si>
    <t>Siga as tarefas T21 a T26.</t>
  </si>
  <si>
    <t>Alterações concluídas localmente não significam deploy. Confirme a versão candidata, backup, reversão e fluxos após publicação.</t>
  </si>
  <si>
    <t>10 · Entregar</t>
  </si>
  <si>
    <t>Encerre T27 e T28 com aceite do cliente.</t>
  </si>
  <si>
    <t>O painel é um checklist, não uma autorização automática para publicar ou garantia de qualidade.</t>
  </si>
  <si>
    <t>Novas tarefas</t>
  </si>
  <si>
    <t>Adicione uma linha dentro da tabela e um ID exclusivo.</t>
  </si>
  <si>
    <t>Copie fórmulas de Dias restantes/Condição se o Excel não as expandir. O Kanban exibe até 48 cartões por status; o cabeçalho mostra o total.</t>
  </si>
  <si>
    <t>Cores</t>
  </si>
  <si>
    <t>Cinza: não iniciado; laranja: em andamento; vermelho: bloqueado.</t>
  </si>
  <si>
    <t>Roxo: em validação; verde: concluído; azul: em espera. A coluna de etapa usa cores apenas para agrupar visualmente.</t>
  </si>
  <si>
    <t>Compatibilidade</t>
  </si>
  <si>
    <t>Arquivo .xlsm salvo pelo Excel, sem macros adicionadas.</t>
  </si>
  <si>
    <t>Use Excel com cálculo automático para atualizar cartões e indicadores. Não é uma integração com a plataforma Monday.com.</t>
  </si>
  <si>
    <t>Base</t>
  </si>
  <si>
    <t>Auditoria de 22/09/2026; 54 funcionalidades inventariadas.</t>
  </si>
  <si>
    <t>As tarefas de execução são uma decomposição prática dos achados. Não foi feita nova auditoria ou alteração de produção ao gerar este quadro.</t>
  </si>
  <si>
    <t>BASE | 54 FUNCIONALIDADES</t>
  </si>
  <si>
    <t>Referência da auditoria. O Quadro acompanha a execução; este inventário preserva resultados e limites originais.</t>
  </si>
  <si>
    <t>Área</t>
  </si>
  <si>
    <t>Funcionalidade</t>
  </si>
  <si>
    <t>Resultado e limite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</si>
  <si>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</si>
  <si>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</si>
  <si>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</si>
  <si>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</si>
  <si>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</si>
  <si>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</si>
  <si>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</si>
  <si>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</si>
  <si>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</si>
  <si>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</si>
  <si>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</si>
  <si>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</si>
  <si>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</si>
  <si>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</si>
  <si>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</si>
  <si>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</si>
  <si>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</si>
  <si>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</si>
  <si>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</si>
  <si>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</si>
  <si>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</si>
  <si>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</si>
  <si>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</si>
  <si>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</si>
  <si>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</si>
  <si>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</si>
  <si>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</si>
  <si>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</si>
  <si>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</si>
  <si>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</si>
  <si>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</si>
  <si>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</si>
  <si>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</si>
  <si>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</si>
  <si>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</si>
  <si>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</si>
  <si>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</si>
  <si>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</si>
  <si>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</si>
  <si>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</si>
  <si>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</si>
  <si>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</si>
  <si>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</si>
  <si>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</si>
  <si>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</si>
  <si>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</si>
  <si>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</si>
  <si>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</si>
  <si>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</si>
  <si>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</si>
  <si>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</si>
  <si>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</si>
  <si>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</si>
  <si>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</si>
  <si>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</si>
  <si>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</si>
  <si>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</si>
  <si>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</si>
  <si>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</si>
  <si>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</si>
  <si>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</si>
  <si>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</si>
  <si>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</si>
  <si>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</si>
  <si>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</si>
  <si>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</si>
  <si>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</si>
  <si>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</si>
  <si>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</si>
  <si>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</si>
  <si>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</si>
  <si>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</si>
  <si>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</si>
  <si>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</si>
  <si>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</si>
  <si>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</si>
  <si>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</si>
  <si>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</si>
  <si>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</si>
  <si>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</si>
  <si>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</si>
  <si>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</si>
  <si>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</si>
  <si>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</si>
  <si>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</si>
  <si>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</si>
  <si>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</si>
  <si>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</si>
  <si>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</si>
  <si>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</si>
  <si>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</si>
  <si>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</si>
  <si>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</si>
  <si>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</si>
  <si>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</si>
  <si>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</si>
  <si>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</si>
  <si>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</si>
  <si>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</si>
  <si>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</si>
  <si>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</si>
  <si>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</si>
  <si>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</si>
  <si>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</si>
  <si>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</si>
  <si>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</si>
  <si>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</si>
  <si>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</si>
  <si>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</si>
  <si>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</si>
  <si>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</si>
  <si>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</si>
  <si>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</si>
  <si>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</si>
  <si>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</si>
  <si>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</si>
  <si>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</si>
  <si>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</si>
  <si>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</si>
  <si>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</si>
  <si>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</si>
  <si>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</si>
  <si>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</si>
  <si>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</si>
  <si>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</si>
  <si>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</si>
  <si>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</si>
  <si>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</si>
  <si>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</si>
  <si>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</si>
  <si>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</si>
  <si>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</si>
  <si>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</si>
  <si>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</si>
  <si>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</si>
  <si>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</si>
  <si>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</si>
  <si>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</si>
  <si>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</si>
  <si>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</si>
  <si>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</si>
  <si>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</si>
  <si>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</si>
  <si>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</si>
  <si>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</si>
  <si>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</si>
  <si>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</si>
  <si>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</si>
  <si>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</si>
  <si>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</si>
  <si>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</si>
  <si>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</si>
  <si>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</si>
  <si>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</si>
  <si>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</si>
  <si>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</si>
  <si>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</si>
  <si>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</si>
  <si>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</si>
  <si>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</si>
  <si>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</si>
  <si>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</si>
  <si>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</si>
  <si>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</si>
  <si>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</si>
  <si>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</si>
  <si>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</si>
  <si>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EXECUCAO-2026-09-22.md</t>
  </si>
  <si>
    <t>Publicado: salvar evento neste navegador, com persistência e tratamento de erro; sem contadores fictícios.</t>
  </si>
  <si>
    <t>Integração isolada comprovou upload, troca, recarga e exclusão; código publicado na 2.3.1.</t>
  </si>
  <si>
    <t>Benefícios e contratos cobertos na API; falta homologação final com contratos reais e destinos externos.</t>
  </si>
  <si>
    <t>Datas, pausa, expiração e revisão cobertas; ensaio preservou as sete empresas públicas.</t>
  </si>
  <si>
    <t>Carregamento e isolamento aprovados com serviços simulados; verificar recebimento em Google/Meta.</t>
  </si>
  <si>
    <t>Disponibilizar dispositivo para comprovar recebimento de push e destino.</t>
  </si>
  <si>
    <t>APK 2.3.1 debug compilado; instalar e validar em dispositivo real. Não é pacote de loja.</t>
  </si>
  <si>
    <t>Escopo técnico registrado; confirmar conteúdo, operação e limitações com o responsável pela entrega.</t>
  </si>
  <si>
    <t>Encerrar bloqueios essenciais e registrar aceite explícito do cliente.</t>
  </si>
  <si>
    <t>Codex</t>
  </si>
  <si>
    <t>HTTPS do principal e dois clientes validado em 23/09; aliases individuais no app33.</t>
  </si>
  <si>
    <t>CONCLUSAO-2026-09-23.md</t>
  </si>
  <si>
    <t>2.3.2 publicada na API e app33; 84 arquivos conferidos. Aceite integral continua pendente.</t>
  </si>
  <si>
    <t>Certificados válidos; comprovar renovação e persistência na Cloudez.</t>
  </si>
  <si>
    <t>DEBUG reapareceu e foi corrigido em 23/09; 404 sem página técnica confirmado. Falta persistência na configuração gerenciada.</t>
  </si>
  <si>
    <t>Usuário confirmou em 23/09: PostgreSQL ainda não criado.</t>
  </si>
  <si>
    <t>Aguardar instância PostgreSQL para ensaio e migração dos dados.</t>
  </si>
  <si>
    <t>Backup diário íntegro; cópia externa manual anterior à 2.3.2 validada. Definir destino externo recorrente.</t>
  </si>
  <si>
    <t>Usuário confirmou SMTP ainda não criado. Módulo transacional 2.3.2 publicado, envio desativado.</t>
  </si>
  <si>
    <t>Recuperação testada em ambiente isolado; falta SMTP e recebimento real.</t>
  </si>
  <si>
    <t>Execução automática comprovada em 23/09 às 06:15 de São Paulo; zero contratos/faturas. Homologar alerta de falha.</t>
  </si>
  <si>
    <t>Pacote 2.3.2 identificado por hash; migração 0018 aplicada após ensaio.</t>
  </si>
  <si>
    <t>Backups de arquivos/banco e cópia externa manual íntegra; comparação preservou 21 tabelas existentes.</t>
  </si>
  <si>
    <t>12 verificações públicas e 4 combinações de login aprovadas em produção; falta aceite de integrações externas.</t>
  </si>
  <si>
    <t>76 API, 54 navegador, 3 integrações e 10 operacionais aprovados localmente e no CI do GitHub.</t>
  </si>
  <si>
    <t>Monitor publicado em dev e habilitado; primeira rodada manual remota aprovada. Conferir agenda e recebimento de alertas.</t>
  </si>
  <si>
    <t>76 testes API, 54 cenários de navegador, 3 integrações e 10 operacionais; build e migrações aprovados localmente e no CI.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</si>
</sst>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20"/>
      <color rgb="FFFFFFFF"/>
      <name val="Calibri"/>
    </font>
    <font>
      <sz val="11"/>
      <color rgb="FF676879"/>
      <name val="Calibri"/>
    </font>
    <font>
      <b/>
      <sz val="11"/>
      <color rgb="FFFFFFFF"/>
      <name val="Calibri"/>
    </font>
    <font>
      <sz val="11"/>
      <color rgb="FF323338"/>
      <name val="Calibri"/>
    </font>
    <font>
      <b/>
      <sz val="11"/>
      <color rgb="FFFFFFFF"/>
      <name val="Calibri"/>
    </font>
    <font>
      <b/>
      <sz val="30"/>
      <color rgb="FF6161FF"/>
      <name val="Calibri"/>
    </font>
    <font>
      <b/>
      <sz val="30"/>
      <color rgb="FF00A86B"/>
      <name val="Calibri"/>
    </font>
    <font>
      <b/>
      <sz val="30"/>
      <color rgb="FFE2445C"/>
      <name val="Calibri"/>
    </font>
    <font>
      <b/>
      <sz val="30"/>
      <color rgb="FFFDAB3D"/>
      <name val="Calibri"/>
    </font>
    <font>
      <b/>
      <sz val="15"/>
      <color rgb="FF181B34"/>
      <name val="Calibri"/>
    </font>
    <font>
      <b/>
      <sz val="11"/>
      <color rgb="FF6161FF"/>
      <name val="Calibri"/>
    </font>
    <font>
      <b/>
      <sz val="13"/>
      <color rgb="FF323338"/>
      <name val="Calibri"/>
    </font>
    <font>
      <b/>
      <sz val="11"/>
      <color rgb="FF676879"/>
      <name val="Calibri"/>
    </font>
    <font>
      <b/>
      <sz val="13"/>
      <color rgb="FFFFFFFF"/>
      <name val="Calibri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81B34"/>
      </patternFill>
    </fill>
    <fill>
      <patternFill patternType="solid">
        <fgColor rgb="FFF4F5FA"/>
      </patternFill>
    </fill>
    <fill>
      <patternFill patternType="solid">
        <fgColor rgb="FFEBEDF3"/>
      </patternFill>
    </fill>
    <fill>
      <patternFill patternType="solid">
        <fgColor rgb="FFE2445C"/>
      </patternFill>
    </fill>
    <fill>
      <patternFill patternType="solid">
        <fgColor rgb="FFFDAB3D"/>
      </patternFill>
    </fill>
    <fill>
      <patternFill patternType="solid">
        <fgColor rgb="FFA25DDC"/>
      </patternFill>
    </fill>
    <fill>
      <patternFill patternType="solid">
        <fgColor rgb="FF579BFC"/>
      </patternFill>
    </fill>
    <fill>
      <patternFill patternType="solid">
        <fgColor rgb="FF00C875"/>
      </patternFill>
    </fill>
    <fill>
      <patternFill patternType="solid">
        <fgColor rgb="FF9D99B9"/>
      </patternFill>
    </fill>
    <fill>
      <patternFill patternType="solid">
        <fgColor rgb="FF6161FF"/>
      </patternFill>
    </fill>
    <fill>
      <patternFill patternType="solid">
        <fgColor rgb="FF00A86B"/>
      </patternFill>
    </fill>
    <fill>
      <patternFill patternType="solid">
        <fgColor rgb="FFEEF0FF"/>
      </patternFill>
    </fill>
    <fill>
      <patternFill patternType="solid">
        <fgColor rgb="FFC4C4C4"/>
      </patternFill>
    </fill>
    <fill>
      <patternFill patternType="solid">
        <fgColor rgb="FFFFF4DD"/>
      </patternFill>
    </fill>
    <fill>
      <patternFill patternType="solid">
        <f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1" fillId="0" borderId="0" xfId="0" applyFont="1"/>
    <xf numFmtId="0" fontId="3" fillId="2" borderId="0" xfId="0" applyFont="1" applyFill="1" applyAlignment="1">
      <alignment vertical="center" wrapText="1"/>
    </xf>
    <xf numFmtId="0" fontId="4" fillId="0" borderId="0" xfId="0" applyFont="1" applyAlignment="1">
      <alignment vertical="top" wrapText="1"/>
    </xf>
    <xf numFmtId="0" fontId="3" fillId="5" borderId="0" xfId="0" applyFont="1" applyFill="1" applyAlignment="1">
      <alignment vertical="top" wrapText="1"/>
    </xf>
    <xf numFmtId="14" fontId="4" fillId="0" borderId="0" xfId="0" applyNumberFormat="1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0" fontId="3" fillId="6" borderId="0" xfId="0" applyFont="1" applyFill="1" applyAlignment="1">
      <alignment vertical="top" wrapText="1"/>
    </xf>
    <xf numFmtId="0" fontId="3" fillId="7" borderId="0" xfId="0" applyFont="1" applyFill="1" applyAlignment="1">
      <alignment vertical="top" wrapText="1"/>
    </xf>
    <xf numFmtId="0" fontId="3" fillId="8" borderId="0" xfId="0" applyFont="1" applyFill="1" applyAlignment="1">
      <alignment vertical="top" wrapText="1"/>
    </xf>
    <xf numFmtId="0" fontId="3" fillId="9" borderId="0" xfId="0" applyFont="1" applyFill="1" applyAlignment="1">
      <alignment vertical="top" wrapText="1"/>
    </xf>
    <xf numFmtId="0" fontId="3" fillId="10" borderId="0" xfId="0" applyFont="1" applyFill="1" applyAlignment="1">
      <alignment vertical="top" wrapText="1"/>
    </xf>
    <xf numFmtId="0" fontId="14" fillId="14" borderId="0" xfId="0" applyFont="1" applyFill="1"/>
    <xf numFmtId="0" fontId="14" fillId="6" borderId="0" xfId="0" applyFont="1" applyFill="1"/>
    <xf numFmtId="0" fontId="14" fillId="5" borderId="0" xfId="0" applyFont="1" applyFill="1"/>
    <xf numFmtId="0" fontId="14" fillId="7" borderId="0" xfId="0" applyFont="1" applyFill="1"/>
    <xf numFmtId="0" fontId="14" fillId="9" borderId="0" xfId="0" applyFont="1" applyFill="1"/>
    <xf numFmtId="0" fontId="14" fillId="8" borderId="0" xfId="0" applyFont="1" applyFill="1"/>
    <xf numFmtId="0" fontId="4" fillId="3" borderId="0" xfId="0" applyFont="1" applyFill="1" applyAlignment="1">
      <alignment vertical="center" wrapText="1"/>
    </xf>
    <xf numFmtId="0" fontId="4" fillId="16" borderId="0" xfId="0" applyFont="1" applyFill="1" applyAlignment="1">
      <alignment vertical="center" wrapText="1"/>
    </xf>
    <xf numFmtId="0" fontId="15" fillId="0" borderId="0" xfId="1" applyAlignment="1">
      <alignment vertical="top" wrapText="1"/>
    </xf>
    <xf numFmtId="0" fontId="1" fillId="2" borderId="0" xfId="0" applyFont="1" applyFill="1" applyAlignment="1">
      <alignment vertical="center" wrapText="1"/>
    </xf>
    <xf numFmtId="0" fontId="0" fillId="0" borderId="0" xfId="0"/>
    <xf numFmtId="0" fontId="7" fillId="3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5" fillId="12" borderId="0" xfId="0" applyFont="1" applyFill="1" applyAlignment="1">
      <alignment vertical="center" wrapText="1"/>
    </xf>
    <xf numFmtId="0" fontId="5" fillId="11" borderId="0" xfId="0" applyFont="1" applyFill="1" applyAlignment="1">
      <alignment vertical="center" wrapText="1"/>
    </xf>
    <xf numFmtId="0" fontId="5" fillId="5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0" fontId="5" fillId="14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0" fillId="13" borderId="0" xfId="0" applyFont="1" applyFill="1" applyAlignment="1">
      <alignment vertical="center" wrapText="1"/>
    </xf>
    <xf numFmtId="9" fontId="6" fillId="3" borderId="0" xfId="0" applyNumberFormat="1" applyFont="1" applyFill="1" applyAlignment="1">
      <alignment vertical="center" wrapText="1"/>
    </xf>
  </cellXfs>
  <cellStyles count="2">
    <cellStyle name="Hiperlink" xfId="1" builtinId="8"/>
    <cellStyle name="Normal" xfId="0" builtinId="0"/>
  </cellStyles>
  <dxfs count="11">
    <dxf>
      <font>
        <b/>
        <color rgb="FFA01030"/>
      </font>
      <fill>
        <patternFill patternType="solid">
          <fgColor rgb="FFFFE1E8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9C1734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00C875"/>
        </patternFill>
      </fill>
    </dxf>
    <dxf>
      <font>
        <b/>
        <color rgb="FFFFFFFF"/>
      </font>
      <fill>
        <patternFill patternType="solid">
          <fgColor rgb="FFA25DDC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C4C4C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Distribuição das tarefas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Painel!$D$16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Painel!$A$17:$A$22</c:f>
              <c:strCache>
                <c:ptCount val="6"/>
                <c:pt idx="0">
                  <c:v>Não iniciado</c:v>
                </c:pt>
                <c:pt idx="1">
                  <c:v>Em andamento</c:v>
                </c:pt>
                <c:pt idx="2">
                  <c:v>Bloqueado</c:v>
                </c:pt>
                <c:pt idx="3">
                  <c:v>Em validação</c:v>
                </c:pt>
                <c:pt idx="4">
                  <c:v>Concluído</c:v>
                </c:pt>
                <c:pt idx="5">
                  <c:v>Em espera</c:v>
                </c:pt>
              </c:strCache>
            </c:strRef>
          </c:cat>
          <c:val>
            <c:numRef>
              <c:f>Painel!$D$17:$D$22</c:f>
              <c:numCache>
                <c:formatCode>General</c:formatCode>
                <c:ptCount val="6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BFC-BB43-D27D68FE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15</xdr:row>
      <xdr:rowOff>0</xdr:rowOff>
    </xdr:from>
    <xdr:ext cx="666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refas" displayName="Tarefas" ref="A5:P43">
  <autoFilter ref="A5:P43" xr:uid="{00000000-0009-0000-0100-000001000000}"/>
  <tableColumns count="16">
    <tableColumn id="1" xr3:uid="{00000000-0010-0000-0000-000001000000}" name="ID"/>
    <tableColumn id="2" xr3:uid="{00000000-0010-0000-0000-000002000000}" name="Etapa"/>
    <tableColumn id="3" xr3:uid="{00000000-0010-0000-0000-000003000000}" name="Tarefa"/>
    <tableColumn id="4" xr3:uid="{00000000-0010-0000-0000-000004000000}" name="Status"/>
    <tableColumn id="5" xr3:uid="{00000000-0010-0000-0000-000005000000}" name="Prioridade"/>
    <tableColumn id="6" xr3:uid="{00000000-0010-0000-0000-000006000000}" name="Responsável"/>
    <tableColumn id="7" xr3:uid="{00000000-0010-0000-0000-000007000000}" name="Prazo"/>
    <tableColumn id="8" xr3:uid="{00000000-0010-0000-0000-000008000000}" name="Dias restantes"/>
    <tableColumn id="9" xr3:uid="{00000000-0010-0000-0000-000009000000}" name="Pré-requisitos"/>
    <tableColumn id="10" xr3:uid="{00000000-0010-0000-0000-00000A000000}" name="Condição"/>
    <tableColumn id="11" xr3:uid="{00000000-0010-0000-0000-00000B000000}" name="Próxima ação"/>
    <tableColumn id="12" xr3:uid="{00000000-0010-0000-0000-00000C000000}" name="Critério de conclusão"/>
    <tableColumn id="13" xr3:uid="{00000000-0010-0000-0000-00000D000000}" name="Evidência / link"/>
    <tableColumn id="14" xr3:uid="{00000000-0010-0000-0000-00000E000000}" name="Crítico"/>
    <tableColumn id="15" xr3:uid="{00000000-0010-0000-0000-00000F000000}" name="Escopo"/>
    <tableColumn id="16" xr3:uid="{00000000-0010-0000-0000-000010000000}" name="Concluído 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ientacoes" displayName="Orientacoes" ref="A5:C19">
  <autoFilter ref="A5:C19" xr:uid="{00000000-0009-0000-0100-000002000000}"/>
  <tableColumns count="3">
    <tableColumn id="1" xr3:uid="{00000000-0010-0000-0100-000001000000}" name="Passo"/>
    <tableColumn id="2" xr3:uid="{00000000-0010-0000-0100-000002000000}" name="O que fazer"/>
    <tableColumn id="3" xr3:uid="{00000000-0010-0000-0100-000003000000}" name="Orient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nventario" displayName="Inventario" ref="A5:D59">
  <autoFilter ref="A5:D59" xr:uid="{00000000-0009-0000-0100-000003000000}"/>
  <tableColumns count="4">
    <tableColumn id="1" xr3:uid="{00000000-0010-0000-0200-000001000000}" name="ID"/>
    <tableColumn id="2" xr3:uid="{00000000-0010-0000-0200-000002000000}" name="Área"/>
    <tableColumn id="3" xr3:uid="{00000000-0010-0000-0200-000003000000}" name="Funcionalidade"/>
    <tableColumn id="4" xr3:uid="{00000000-0010-0000-0200-000004000000}" name="Resultado e lim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CONCLUSAO-2026-09-23.md" TargetMode="External"/><Relationship Id="rId13" Type="http://schemas.openxmlformats.org/officeDocument/2006/relationships/hyperlink" Target="CONCLUSAO-2026-09-23.md" TargetMode="External"/><Relationship Id="rId18" Type="http://schemas.openxmlformats.org/officeDocument/2006/relationships/hyperlink" Target="EXECUCAO-2026-09-22.md" TargetMode="External"/><Relationship Id="rId26" Type="http://schemas.openxmlformats.org/officeDocument/2006/relationships/hyperlink" Target="CONCLUSAO-2026-09-23.md" TargetMode="External"/><Relationship Id="rId3" Type="http://schemas.openxmlformats.org/officeDocument/2006/relationships/hyperlink" Target="../output/auditoria/records/2026-09-22/validation.json" TargetMode="External"/><Relationship Id="rId21" Type="http://schemas.openxmlformats.org/officeDocument/2006/relationships/hyperlink" Target="EXECUCAO-2026-09-22.md" TargetMode="External"/><Relationship Id="rId7" Type="http://schemas.openxmlformats.org/officeDocument/2006/relationships/hyperlink" Target="../output/auditoria/records/2026-09-22/backup-audit.json" TargetMode="External"/><Relationship Id="rId12" Type="http://schemas.openxmlformats.org/officeDocument/2006/relationships/hyperlink" Target="CONCLUSAO-2026-09-23.md" TargetMode="External"/><Relationship Id="rId17" Type="http://schemas.openxmlformats.org/officeDocument/2006/relationships/hyperlink" Target="EXECUCAO-2026-09-22.md" TargetMode="External"/><Relationship Id="rId25" Type="http://schemas.openxmlformats.org/officeDocument/2006/relationships/hyperlink" Target="CONCLUSAO-2026-09-23.md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CONCLUSAO-2026-09-23.md" TargetMode="External"/><Relationship Id="rId20" Type="http://schemas.openxmlformats.org/officeDocument/2006/relationships/hyperlink" Target="CONCLUSAO-2026-09-23.md" TargetMode="External"/><Relationship Id="rId29" Type="http://schemas.openxmlformats.org/officeDocument/2006/relationships/hyperlink" Target="CONCLUSAO-2026-09-23.md" TargetMode="External"/><Relationship Id="rId1" Type="http://schemas.openxmlformats.org/officeDocument/2006/relationships/hyperlink" Target="../output/auditoria/records/2026-09-22/validation.json" TargetMode="External"/><Relationship Id="rId6" Type="http://schemas.openxmlformats.org/officeDocument/2006/relationships/hyperlink" Target="CONCLUSAO-2026-09-23.md" TargetMode="External"/><Relationship Id="rId11" Type="http://schemas.openxmlformats.org/officeDocument/2006/relationships/hyperlink" Target="CONCLUSAO-2026-09-23.md" TargetMode="External"/><Relationship Id="rId24" Type="http://schemas.openxmlformats.org/officeDocument/2006/relationships/hyperlink" Target="EXECUCAO-2026-09-22.md" TargetMode="External"/><Relationship Id="rId32" Type="http://schemas.openxmlformats.org/officeDocument/2006/relationships/table" Target="../tables/table1.xml"/><Relationship Id="rId5" Type="http://schemas.openxmlformats.org/officeDocument/2006/relationships/hyperlink" Target="../output/auditoria/records/2026-09-22/validation.json" TargetMode="External"/><Relationship Id="rId15" Type="http://schemas.openxmlformats.org/officeDocument/2006/relationships/hyperlink" Target="CONCLUSAO-2026-09-23.md" TargetMode="External"/><Relationship Id="rId23" Type="http://schemas.openxmlformats.org/officeDocument/2006/relationships/hyperlink" Target="EXECUCAO-2026-09-22.md" TargetMode="External"/><Relationship Id="rId28" Type="http://schemas.openxmlformats.org/officeDocument/2006/relationships/hyperlink" Target="CONCLUSAO-2026-09-23.md" TargetMode="External"/><Relationship Id="rId10" Type="http://schemas.openxmlformats.org/officeDocument/2006/relationships/hyperlink" Target="CONCLUSAO-2026-09-23.md" TargetMode="External"/><Relationship Id="rId19" Type="http://schemas.openxmlformats.org/officeDocument/2006/relationships/hyperlink" Target="EXECUCAO-2026-09-22.md" TargetMode="External"/><Relationship Id="rId31" Type="http://schemas.openxmlformats.org/officeDocument/2006/relationships/hyperlink" Target="EXECUCAO-2026-09-22.md" TargetMode="External"/><Relationship Id="rId4" Type="http://schemas.openxmlformats.org/officeDocument/2006/relationships/hyperlink" Target="../output/auditoria/records/2026-09-22/validation.json" TargetMode="External"/><Relationship Id="rId9" Type="http://schemas.openxmlformats.org/officeDocument/2006/relationships/hyperlink" Target="CONCLUSAO-2026-09-23.md" TargetMode="External"/><Relationship Id="rId14" Type="http://schemas.openxmlformats.org/officeDocument/2006/relationships/hyperlink" Target="EXECUCAO-2026-09-22.md" TargetMode="External"/><Relationship Id="rId22" Type="http://schemas.openxmlformats.org/officeDocument/2006/relationships/hyperlink" Target="EXECUCAO-2026-09-22.md" TargetMode="External"/><Relationship Id="rId27" Type="http://schemas.openxmlformats.org/officeDocument/2006/relationships/hyperlink" Target="CONCLUSAO-2026-09-23.md" TargetMode="External"/><Relationship Id="rId30" Type="http://schemas.openxmlformats.org/officeDocument/2006/relationships/hyperlink" Target="CONCLUSAO-2026-09-23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161FF"/>
    <outlinePr summaryRight="0"/>
    <pageSetUpPr fitToPage="1"/>
  </sheetPr>
  <dimension ref="A1:L32"/>
  <sheetViews>
    <sheetView showGridLines="0" tabSelected="1" zoomScale="85" workbookViewId="0">
      <pane ySplit="3" topLeftCell="A4" activePane="bottomLeft" state="frozen"/>
      <selection pane="bottomLeft" sqref="A1:L1"/>
    </sheetView>
  </sheetViews>
  <sheetFormatPr defaultRowHeight="15" x14ac:dyDescent="0.25"/>
  <cols>
    <col min="1" max="12" width="14" customWidth="1"/>
  </cols>
  <sheetData>
    <row r="1" spans="1:12" ht="38.1" customHeight="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6" customHeight="1" x14ac:dyDescent="0.25">
      <c r="A2" s="26" t="s">
        <v>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4" spans="1:12" x14ac:dyDescent="0.25">
      <c r="A4" s="29" t="s">
        <v>2</v>
      </c>
      <c r="B4" s="22"/>
      <c r="C4" s="22"/>
      <c r="D4" s="22"/>
      <c r="E4" s="28" t="s">
        <v>3</v>
      </c>
      <c r="F4" s="22"/>
      <c r="G4" s="22"/>
      <c r="H4" s="22"/>
      <c r="I4" s="30" t="s">
        <v>4</v>
      </c>
      <c r="J4" s="22"/>
      <c r="K4" s="22"/>
      <c r="L4" s="22"/>
    </row>
    <row r="5" spans="1:12" ht="24.95" customHeight="1" x14ac:dyDescent="0.25">
      <c r="A5" s="35">
        <f>COUNTA(Tarefas[ID])</f>
        <v>38</v>
      </c>
      <c r="B5" s="22"/>
      <c r="C5" s="22"/>
      <c r="D5" s="22"/>
      <c r="E5" s="23">
        <f>COUNTIF(Tarefas[Status],"Concluído")</f>
        <v>15</v>
      </c>
      <c r="F5" s="22"/>
      <c r="G5" s="22"/>
      <c r="H5" s="22"/>
      <c r="I5" s="34">
        <f>COUNTIFS(Tarefas[Crítico],"Sim",Tarefas[Status],"&lt;&gt;Concluído")</f>
        <v>3</v>
      </c>
      <c r="J5" s="22"/>
      <c r="K5" s="22"/>
      <c r="L5" s="22"/>
    </row>
    <row r="6" spans="1:12" ht="24.95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</row>
    <row r="8" spans="1:12" x14ac:dyDescent="0.25">
      <c r="A8" s="30" t="s">
        <v>5</v>
      </c>
      <c r="B8" s="22"/>
      <c r="C8" s="22"/>
      <c r="D8" s="22"/>
      <c r="E8" s="36" t="s">
        <v>6</v>
      </c>
      <c r="F8" s="22"/>
      <c r="G8" s="22"/>
      <c r="H8" s="22"/>
      <c r="I8" s="29" t="s">
        <v>7</v>
      </c>
      <c r="J8" s="22"/>
      <c r="K8" s="22"/>
      <c r="L8" s="22"/>
    </row>
    <row r="9" spans="1:12" ht="24.95" customHeight="1" x14ac:dyDescent="0.25">
      <c r="A9" s="34">
        <f ca="1">COUNTIF(Tarefas[Condição],"Atrasado")</f>
        <v>0</v>
      </c>
      <c r="B9" s="22"/>
      <c r="C9" s="22"/>
      <c r="D9" s="22"/>
      <c r="E9" s="27">
        <f ca="1">COUNTIF(Tarefas[Condição],"Sem prazo")</f>
        <v>22</v>
      </c>
      <c r="F9" s="22"/>
      <c r="G9" s="22"/>
      <c r="H9" s="22"/>
      <c r="I9" s="39">
        <f>IFERROR(COUNTIFS(Tarefas[Status],"Concluído",Tarefas[Escopo],"&lt;&gt;Em espera",Tarefas[Escopo],"&lt;&gt;Opcional")/COUNTIFS(Tarefas[Escopo],"&lt;&gt;Em espera",Tarefas[Escopo],"&lt;&gt;Opcional"),0)</f>
        <v>0.42857142857142855</v>
      </c>
      <c r="J9" s="22"/>
      <c r="K9" s="22"/>
      <c r="L9" s="22"/>
    </row>
    <row r="10" spans="1:12" ht="24.9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</row>
    <row r="12" spans="1:12" x14ac:dyDescent="0.25">
      <c r="A12" s="38" t="str">
        <f>IF(COUNTIFS(Tarefas[Crítico],"Sim",Tarefas[Status],"&lt;&gt;Concluído")&gt;0,"ENTREGA BLOQUEADA — encerre os itens críticos com evidência",IF(COUNTIFS(Tarefas[Escopo],"Essencial",Tarefas[Status],"&lt;&gt;Concluído")+COUNTIFS(Tarefas[Escopo],"Homologação",Tarefas[Status],"&lt;&gt;Concluído")+COUNTIF(Tarefas[Condição],"Falta evidência")+COUNTIF(Tarefas[Condição],"Falta data")&gt;0,"EM PREPARAÇÃO — ainda há tarefas ou comprovações pendentes","CHECKLIST ENCERRADO — confirmar aceite formal e versão publicada"))</f>
        <v>ENTREGA BLOQUEADA — encerre os itens críticos com evidência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</row>
    <row r="13" spans="1:12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6" spans="1:12" x14ac:dyDescent="0.25">
      <c r="A16" s="1" t="s">
        <v>8</v>
      </c>
      <c r="D16" s="1" t="s">
        <v>9</v>
      </c>
    </row>
    <row r="17" spans="1:12" ht="26.1" customHeight="1" x14ac:dyDescent="0.25">
      <c r="A17" s="32" t="s">
        <v>10</v>
      </c>
      <c r="B17" s="22"/>
      <c r="C17" s="22"/>
      <c r="D17">
        <f>COUNTIF(Tarefas[Status],A17)</f>
        <v>6</v>
      </c>
    </row>
    <row r="18" spans="1:12" ht="26.1" customHeight="1" x14ac:dyDescent="0.25">
      <c r="A18" s="36" t="s">
        <v>11</v>
      </c>
      <c r="B18" s="22"/>
      <c r="C18" s="22"/>
      <c r="D18">
        <f>COUNTIF(Tarefas[Status],A18)</f>
        <v>1</v>
      </c>
    </row>
    <row r="19" spans="1:12" ht="26.1" customHeight="1" x14ac:dyDescent="0.25">
      <c r="A19" s="30" t="s">
        <v>12</v>
      </c>
      <c r="B19" s="22"/>
      <c r="C19" s="22"/>
      <c r="D19">
        <f>COUNTIF(Tarefas[Status],A19)</f>
        <v>6</v>
      </c>
    </row>
    <row r="20" spans="1:12" ht="26.1" customHeight="1" x14ac:dyDescent="0.25">
      <c r="A20" s="33" t="s">
        <v>13</v>
      </c>
      <c r="B20" s="22"/>
      <c r="C20" s="22"/>
      <c r="D20">
        <f>COUNTIF(Tarefas[Status],A20)</f>
        <v>9</v>
      </c>
    </row>
    <row r="21" spans="1:12" ht="26.1" customHeight="1" x14ac:dyDescent="0.25">
      <c r="A21" s="24" t="s">
        <v>14</v>
      </c>
      <c r="B21" s="22"/>
      <c r="C21" s="22"/>
      <c r="D21">
        <f>COUNTIF(Tarefas[Status],A21)</f>
        <v>15</v>
      </c>
    </row>
    <row r="22" spans="1:12" ht="26.1" customHeight="1" x14ac:dyDescent="0.25">
      <c r="A22" s="31" t="s">
        <v>15</v>
      </c>
      <c r="B22" s="22"/>
      <c r="C22" s="22"/>
      <c r="D22">
        <f>COUNTIF(Tarefas[Status],A22)</f>
        <v>1</v>
      </c>
    </row>
    <row r="25" spans="1:12" x14ac:dyDescent="0.25">
      <c r="A25" s="37" t="s">
        <v>16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</row>
    <row r="26" spans="1:12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</row>
    <row r="28" spans="1:12" x14ac:dyDescent="0.25">
      <c r="A28" s="25" t="s">
        <v>17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</row>
    <row r="29" spans="1:12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</row>
    <row r="31" spans="1:12" x14ac:dyDescent="0.25">
      <c r="A31" s="25" t="s">
        <v>18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</row>
  </sheetData>
  <mergeCells count="24">
    <mergeCell ref="A31:L32"/>
    <mergeCell ref="A22:C22"/>
    <mergeCell ref="A17:C17"/>
    <mergeCell ref="A20:C20"/>
    <mergeCell ref="I5:L6"/>
    <mergeCell ref="A5:D6"/>
    <mergeCell ref="A19:C19"/>
    <mergeCell ref="E8:H8"/>
    <mergeCell ref="A25:L26"/>
    <mergeCell ref="A12:L13"/>
    <mergeCell ref="A9:D10"/>
    <mergeCell ref="A8:D8"/>
    <mergeCell ref="I8:L8"/>
    <mergeCell ref="A18:C18"/>
    <mergeCell ref="I9:L10"/>
    <mergeCell ref="A1:L1"/>
    <mergeCell ref="E5:H6"/>
    <mergeCell ref="A21:C21"/>
    <mergeCell ref="A28:L29"/>
    <mergeCell ref="A2:L2"/>
    <mergeCell ref="E9:H10"/>
    <mergeCell ref="E4:H4"/>
    <mergeCell ref="A4:D4"/>
    <mergeCell ref="I4:L4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6161FF"/>
    <outlinePr summaryRight="0"/>
    <pageSetUpPr fitToPage="1"/>
  </sheetPr>
  <dimension ref="A1:P43"/>
  <sheetViews>
    <sheetView showGridLines="0" zoomScale="75"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4" customWidth="1"/>
    <col min="3" max="3" width="52" customWidth="1"/>
    <col min="4" max="4" width="21" customWidth="1"/>
    <col min="5" max="5" width="15" customWidth="1"/>
    <col min="6" max="6" width="29" customWidth="1"/>
    <col min="7" max="8" width="15" customWidth="1"/>
    <col min="9" max="9" width="29" customWidth="1"/>
    <col min="10" max="10" width="26" customWidth="1"/>
    <col min="11" max="11" width="78" customWidth="1"/>
    <col min="12" max="12" width="90" customWidth="1"/>
    <col min="13" max="13" width="60" customWidth="1"/>
    <col min="14" max="14" width="18" customWidth="1"/>
    <col min="15" max="15" width="20" customWidth="1"/>
    <col min="16" max="16" width="16" customWidth="1"/>
  </cols>
  <sheetData>
    <row r="1" spans="1:16" ht="38.1" customHeight="1" x14ac:dyDescent="0.25">
      <c r="A1" s="21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36" customHeight="1" x14ac:dyDescent="0.25">
      <c r="A2" s="26" t="s">
        <v>20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5" spans="1:16" ht="32.1" customHeight="1" x14ac:dyDescent="0.25">
      <c r="A5" s="2" t="s">
        <v>21</v>
      </c>
      <c r="B5" s="2" t="s">
        <v>22</v>
      </c>
      <c r="C5" s="2" t="s">
        <v>23</v>
      </c>
      <c r="D5" s="2" t="s">
        <v>8</v>
      </c>
      <c r="E5" s="2" t="s">
        <v>24</v>
      </c>
      <c r="F5" s="2" t="s">
        <v>25</v>
      </c>
      <c r="G5" s="2" t="s">
        <v>26</v>
      </c>
      <c r="H5" s="2" t="s">
        <v>27</v>
      </c>
      <c r="I5" s="2" t="s">
        <v>28</v>
      </c>
      <c r="J5" s="2" t="s">
        <v>29</v>
      </c>
      <c r="K5" s="2" t="s">
        <v>30</v>
      </c>
      <c r="L5" s="2" t="s">
        <v>31</v>
      </c>
      <c r="M5" s="2" t="s">
        <v>32</v>
      </c>
      <c r="N5" s="2" t="s">
        <v>33</v>
      </c>
      <c r="O5" s="2" t="s">
        <v>34</v>
      </c>
      <c r="P5" s="2" t="s">
        <v>35</v>
      </c>
    </row>
    <row r="6" spans="1:16" ht="75.95" customHeight="1" x14ac:dyDescent="0.25">
      <c r="A6" s="3" t="s">
        <v>36</v>
      </c>
      <c r="B6" s="4" t="s">
        <v>37</v>
      </c>
      <c r="C6" s="3" t="s">
        <v>38</v>
      </c>
      <c r="D6" s="3" t="s">
        <v>14</v>
      </c>
      <c r="E6" s="3" t="s">
        <v>39</v>
      </c>
      <c r="F6" s="3" t="s">
        <v>414</v>
      </c>
      <c r="G6" s="5"/>
      <c r="H6" s="6" t="str">
        <f t="shared" ref="H6:H43" ca="1" si="0">IF(OR(G6="",D6="Concluído",D6="Em espera"),"",G6-TODAY())</f>
        <v/>
      </c>
      <c r="I6" s="3"/>
      <c r="J6" s="6" t="str">
        <f t="shared" ref="J6:J43" ca="1" si="1">IF(D6="Concluído",IF(M6="","Falta evidência",IF(P6="","Falta data","Concluído")),IF(OR(D6="Em espera",O6="Em espera"),"Em espera",IF(G6="","Sem prazo",IF(G6&lt;TODAY(),"Atrasado",IF(G6&lt;=TODAY()+3,"Vence em até 3 dias","No prazo")))))</f>
        <v>Concluído</v>
      </c>
      <c r="K6" s="3" t="s">
        <v>415</v>
      </c>
      <c r="L6" s="3" t="s">
        <v>41</v>
      </c>
      <c r="M6" s="20" t="s">
        <v>416</v>
      </c>
      <c r="N6" s="3" t="s">
        <v>42</v>
      </c>
      <c r="O6" s="3" t="s">
        <v>43</v>
      </c>
      <c r="P6" s="5">
        <v>46288</v>
      </c>
    </row>
    <row r="7" spans="1:16" ht="75.95" customHeight="1" x14ac:dyDescent="0.25">
      <c r="A7" s="3" t="s">
        <v>44</v>
      </c>
      <c r="B7" s="4" t="s">
        <v>37</v>
      </c>
      <c r="C7" s="3" t="s">
        <v>45</v>
      </c>
      <c r="D7" s="3" t="s">
        <v>13</v>
      </c>
      <c r="E7" s="3" t="s">
        <v>39</v>
      </c>
      <c r="F7" s="3" t="s">
        <v>40</v>
      </c>
      <c r="G7" s="5"/>
      <c r="H7" s="6" t="str">
        <f t="shared" ca="1" si="0"/>
        <v/>
      </c>
      <c r="I7" s="3" t="s">
        <v>36</v>
      </c>
      <c r="J7" s="6" t="str">
        <f t="shared" ca="1" si="1"/>
        <v>Sem prazo</v>
      </c>
      <c r="K7" s="3" t="s">
        <v>418</v>
      </c>
      <c r="L7" s="3" t="s">
        <v>46</v>
      </c>
      <c r="M7" s="20" t="s">
        <v>416</v>
      </c>
      <c r="N7" s="3" t="s">
        <v>42</v>
      </c>
      <c r="O7" s="3" t="s">
        <v>43</v>
      </c>
      <c r="P7" s="5"/>
    </row>
    <row r="8" spans="1:16" ht="75.95" customHeight="1" x14ac:dyDescent="0.25">
      <c r="A8" s="3" t="s">
        <v>47</v>
      </c>
      <c r="B8" s="4" t="s">
        <v>37</v>
      </c>
      <c r="C8" s="3" t="s">
        <v>48</v>
      </c>
      <c r="D8" s="3" t="s">
        <v>13</v>
      </c>
      <c r="E8" s="3" t="s">
        <v>39</v>
      </c>
      <c r="F8" s="3" t="s">
        <v>49</v>
      </c>
      <c r="G8" s="5"/>
      <c r="H8" s="6" t="str">
        <f t="shared" ca="1" si="0"/>
        <v/>
      </c>
      <c r="I8" s="3"/>
      <c r="J8" s="6" t="str">
        <f t="shared" ca="1" si="1"/>
        <v>Sem prazo</v>
      </c>
      <c r="K8" s="3" t="s">
        <v>419</v>
      </c>
      <c r="L8" s="3" t="s">
        <v>50</v>
      </c>
      <c r="M8" s="20" t="s">
        <v>416</v>
      </c>
      <c r="N8" s="3" t="s">
        <v>42</v>
      </c>
      <c r="O8" s="3" t="s">
        <v>43</v>
      </c>
      <c r="P8" s="5"/>
    </row>
    <row r="9" spans="1:16" ht="75.95" customHeight="1" x14ac:dyDescent="0.25">
      <c r="A9" s="3" t="s">
        <v>51</v>
      </c>
      <c r="B9" s="4" t="s">
        <v>37</v>
      </c>
      <c r="C9" s="3" t="s">
        <v>52</v>
      </c>
      <c r="D9" s="3" t="s">
        <v>12</v>
      </c>
      <c r="E9" s="3" t="s">
        <v>53</v>
      </c>
      <c r="F9" s="3" t="s">
        <v>54</v>
      </c>
      <c r="G9" s="5"/>
      <c r="H9" s="6" t="str">
        <f t="shared" ca="1" si="0"/>
        <v/>
      </c>
      <c r="I9" s="3"/>
      <c r="J9" s="6" t="str">
        <f t="shared" ca="1" si="1"/>
        <v>Sem prazo</v>
      </c>
      <c r="K9" s="3" t="s">
        <v>420</v>
      </c>
      <c r="L9" s="3" t="s">
        <v>55</v>
      </c>
      <c r="M9" s="20" t="s">
        <v>416</v>
      </c>
      <c r="N9" s="3" t="s">
        <v>56</v>
      </c>
      <c r="O9" s="3" t="s">
        <v>43</v>
      </c>
      <c r="P9" s="5"/>
    </row>
    <row r="10" spans="1:16" ht="75.95" customHeight="1" x14ac:dyDescent="0.25">
      <c r="A10" s="3" t="s">
        <v>57</v>
      </c>
      <c r="B10" s="4" t="s">
        <v>37</v>
      </c>
      <c r="C10" s="3" t="s">
        <v>58</v>
      </c>
      <c r="D10" s="3" t="s">
        <v>12</v>
      </c>
      <c r="E10" s="3" t="s">
        <v>53</v>
      </c>
      <c r="F10" s="3" t="s">
        <v>49</v>
      </c>
      <c r="G10" s="5"/>
      <c r="H10" s="6" t="str">
        <f t="shared" ca="1" si="0"/>
        <v/>
      </c>
      <c r="I10" s="3" t="s">
        <v>51</v>
      </c>
      <c r="J10" s="6" t="str">
        <f t="shared" ca="1" si="1"/>
        <v>Sem prazo</v>
      </c>
      <c r="K10" s="3" t="s">
        <v>421</v>
      </c>
      <c r="L10" s="3" t="s">
        <v>59</v>
      </c>
      <c r="M10" s="20" t="s">
        <v>416</v>
      </c>
      <c r="N10" s="3" t="s">
        <v>56</v>
      </c>
      <c r="O10" s="3" t="s">
        <v>43</v>
      </c>
      <c r="P10" s="5"/>
    </row>
    <row r="11" spans="1:16" ht="75.95" customHeight="1" x14ac:dyDescent="0.25">
      <c r="A11" s="3" t="s">
        <v>60</v>
      </c>
      <c r="B11" s="4" t="s">
        <v>37</v>
      </c>
      <c r="C11" s="3" t="s">
        <v>61</v>
      </c>
      <c r="D11" s="3" t="s">
        <v>13</v>
      </c>
      <c r="E11" s="3" t="s">
        <v>53</v>
      </c>
      <c r="F11" s="3" t="s">
        <v>40</v>
      </c>
      <c r="G11" s="5"/>
      <c r="H11" s="6" t="str">
        <f t="shared" ca="1" si="0"/>
        <v/>
      </c>
      <c r="I11" s="3"/>
      <c r="J11" s="6" t="str">
        <f t="shared" ca="1" si="1"/>
        <v>Sem prazo</v>
      </c>
      <c r="K11" s="3" t="s">
        <v>422</v>
      </c>
      <c r="L11" s="3" t="s">
        <v>62</v>
      </c>
      <c r="M11" s="20" t="s">
        <v>416</v>
      </c>
      <c r="N11" s="3" t="s">
        <v>56</v>
      </c>
      <c r="O11" s="3" t="s">
        <v>43</v>
      </c>
      <c r="P11" s="5"/>
    </row>
    <row r="12" spans="1:16" ht="75.95" customHeight="1" x14ac:dyDescent="0.25">
      <c r="A12" s="3" t="s">
        <v>63</v>
      </c>
      <c r="B12" s="7" t="s">
        <v>64</v>
      </c>
      <c r="C12" s="3" t="s">
        <v>65</v>
      </c>
      <c r="D12" s="3" t="s">
        <v>14</v>
      </c>
      <c r="E12" s="3" t="s">
        <v>53</v>
      </c>
      <c r="F12" s="3" t="s">
        <v>414</v>
      </c>
      <c r="G12" s="5"/>
      <c r="H12" s="6" t="str">
        <f t="shared" ca="1" si="0"/>
        <v/>
      </c>
      <c r="I12" s="3"/>
      <c r="J12" s="6" t="str">
        <f t="shared" ca="1" si="1"/>
        <v>Concluído</v>
      </c>
      <c r="K12" s="3" t="s">
        <v>405</v>
      </c>
      <c r="L12" s="3" t="s">
        <v>66</v>
      </c>
      <c r="M12" s="20" t="s">
        <v>404</v>
      </c>
      <c r="N12" s="3" t="s">
        <v>56</v>
      </c>
      <c r="O12" s="3" t="s">
        <v>43</v>
      </c>
      <c r="P12" s="5">
        <v>46287</v>
      </c>
    </row>
    <row r="13" spans="1:16" ht="75.95" customHeight="1" x14ac:dyDescent="0.25">
      <c r="A13" s="3" t="s">
        <v>67</v>
      </c>
      <c r="B13" s="7" t="s">
        <v>64</v>
      </c>
      <c r="C13" s="3" t="s">
        <v>68</v>
      </c>
      <c r="D13" s="3" t="s">
        <v>12</v>
      </c>
      <c r="E13" s="3" t="s">
        <v>53</v>
      </c>
      <c r="F13" s="3" t="s">
        <v>54</v>
      </c>
      <c r="G13" s="5"/>
      <c r="H13" s="6" t="str">
        <f t="shared" ca="1" si="0"/>
        <v/>
      </c>
      <c r="I13" s="3"/>
      <c r="J13" s="6" t="str">
        <f t="shared" ca="1" si="1"/>
        <v>Sem prazo</v>
      </c>
      <c r="K13" s="3" t="s">
        <v>423</v>
      </c>
      <c r="L13" s="3" t="s">
        <v>69</v>
      </c>
      <c r="M13" s="20" t="s">
        <v>416</v>
      </c>
      <c r="N13" s="3" t="s">
        <v>56</v>
      </c>
      <c r="O13" s="3" t="s">
        <v>70</v>
      </c>
      <c r="P13" s="5"/>
    </row>
    <row r="14" spans="1:16" ht="75.95" customHeight="1" x14ac:dyDescent="0.25">
      <c r="A14" s="3" t="s">
        <v>71</v>
      </c>
      <c r="B14" s="8" t="s">
        <v>72</v>
      </c>
      <c r="C14" s="3" t="s">
        <v>73</v>
      </c>
      <c r="D14" s="3" t="s">
        <v>12</v>
      </c>
      <c r="E14" s="3" t="s">
        <v>53</v>
      </c>
      <c r="F14" s="3" t="s">
        <v>74</v>
      </c>
      <c r="G14" s="5"/>
      <c r="H14" s="6" t="str">
        <f t="shared" ca="1" si="0"/>
        <v/>
      </c>
      <c r="I14" s="3" t="s">
        <v>67</v>
      </c>
      <c r="J14" s="6" t="str">
        <f t="shared" ca="1" si="1"/>
        <v>Sem prazo</v>
      </c>
      <c r="K14" s="3" t="s">
        <v>424</v>
      </c>
      <c r="L14" s="3" t="s">
        <v>75</v>
      </c>
      <c r="M14" s="20" t="s">
        <v>416</v>
      </c>
      <c r="N14" s="3" t="s">
        <v>56</v>
      </c>
      <c r="O14" s="3" t="s">
        <v>70</v>
      </c>
      <c r="P14" s="5"/>
    </row>
    <row r="15" spans="1:16" ht="75.95" customHeight="1" x14ac:dyDescent="0.25">
      <c r="A15" s="3" t="s">
        <v>76</v>
      </c>
      <c r="B15" s="8" t="s">
        <v>72</v>
      </c>
      <c r="C15" s="3" t="s">
        <v>77</v>
      </c>
      <c r="D15" s="3" t="s">
        <v>14</v>
      </c>
      <c r="E15" s="3" t="s">
        <v>53</v>
      </c>
      <c r="F15" s="3" t="s">
        <v>414</v>
      </c>
      <c r="G15" s="5"/>
      <c r="H15" s="6" t="str">
        <f t="shared" ca="1" si="0"/>
        <v/>
      </c>
      <c r="I15" s="3"/>
      <c r="J15" s="6" t="str">
        <f t="shared" ca="1" si="1"/>
        <v>Concluído</v>
      </c>
      <c r="K15" s="3" t="s">
        <v>406</v>
      </c>
      <c r="L15" s="3" t="s">
        <v>78</v>
      </c>
      <c r="M15" s="20" t="s">
        <v>404</v>
      </c>
      <c r="N15" s="3" t="s">
        <v>56</v>
      </c>
      <c r="O15" s="3" t="s">
        <v>43</v>
      </c>
      <c r="P15" s="5">
        <v>46287</v>
      </c>
    </row>
    <row r="16" spans="1:16" ht="75.95" customHeight="1" x14ac:dyDescent="0.25">
      <c r="A16" s="3" t="s">
        <v>79</v>
      </c>
      <c r="B16" s="8" t="s">
        <v>72</v>
      </c>
      <c r="C16" s="3" t="s">
        <v>80</v>
      </c>
      <c r="D16" s="3" t="s">
        <v>13</v>
      </c>
      <c r="E16" s="3" t="s">
        <v>53</v>
      </c>
      <c r="F16" s="3" t="s">
        <v>74</v>
      </c>
      <c r="G16" s="5"/>
      <c r="H16" s="6" t="str">
        <f t="shared" ca="1" si="0"/>
        <v/>
      </c>
      <c r="I16" s="3"/>
      <c r="J16" s="6" t="str">
        <f t="shared" ca="1" si="1"/>
        <v>Sem prazo</v>
      </c>
      <c r="K16" s="3" t="s">
        <v>407</v>
      </c>
      <c r="L16" s="3" t="s">
        <v>81</v>
      </c>
      <c r="M16" s="20" t="s">
        <v>404</v>
      </c>
      <c r="N16" s="3" t="s">
        <v>56</v>
      </c>
      <c r="O16" s="3" t="s">
        <v>43</v>
      </c>
      <c r="P16" s="5"/>
    </row>
    <row r="17" spans="1:16" ht="75.95" customHeight="1" x14ac:dyDescent="0.25">
      <c r="A17" s="3" t="s">
        <v>82</v>
      </c>
      <c r="B17" s="8" t="s">
        <v>72</v>
      </c>
      <c r="C17" s="3" t="s">
        <v>83</v>
      </c>
      <c r="D17" s="3" t="s">
        <v>14</v>
      </c>
      <c r="E17" s="3" t="s">
        <v>53</v>
      </c>
      <c r="F17" s="3" t="s">
        <v>414</v>
      </c>
      <c r="G17" s="5"/>
      <c r="H17" s="6" t="str">
        <f t="shared" ca="1" si="0"/>
        <v/>
      </c>
      <c r="I17" s="3"/>
      <c r="J17" s="6" t="str">
        <f t="shared" ca="1" si="1"/>
        <v>Concluído</v>
      </c>
      <c r="K17" s="3" t="s">
        <v>408</v>
      </c>
      <c r="L17" s="3" t="s">
        <v>84</v>
      </c>
      <c r="M17" s="20" t="s">
        <v>404</v>
      </c>
      <c r="N17" s="3" t="s">
        <v>56</v>
      </c>
      <c r="O17" s="3" t="s">
        <v>43</v>
      </c>
      <c r="P17" s="5">
        <v>46287</v>
      </c>
    </row>
    <row r="18" spans="1:16" ht="75.95" customHeight="1" x14ac:dyDescent="0.25">
      <c r="A18" s="3" t="s">
        <v>85</v>
      </c>
      <c r="B18" s="8" t="s">
        <v>72</v>
      </c>
      <c r="C18" s="3" t="s">
        <v>86</v>
      </c>
      <c r="D18" s="3" t="s">
        <v>13</v>
      </c>
      <c r="E18" s="3" t="s">
        <v>53</v>
      </c>
      <c r="F18" s="3" t="s">
        <v>49</v>
      </c>
      <c r="G18" s="5"/>
      <c r="H18" s="6" t="str">
        <f t="shared" ca="1" si="0"/>
        <v/>
      </c>
      <c r="I18" s="3"/>
      <c r="J18" s="6" t="str">
        <f t="shared" ca="1" si="1"/>
        <v>Sem prazo</v>
      </c>
      <c r="K18" s="3" t="s">
        <v>425</v>
      </c>
      <c r="L18" s="3" t="s">
        <v>87</v>
      </c>
      <c r="M18" s="20" t="s">
        <v>416</v>
      </c>
      <c r="N18" s="3" t="s">
        <v>56</v>
      </c>
      <c r="O18" s="3" t="s">
        <v>70</v>
      </c>
      <c r="P18" s="5"/>
    </row>
    <row r="19" spans="1:16" ht="75.95" customHeight="1" x14ac:dyDescent="0.25">
      <c r="A19" s="3" t="s">
        <v>88</v>
      </c>
      <c r="B19" s="8" t="s">
        <v>72</v>
      </c>
      <c r="C19" s="3" t="s">
        <v>89</v>
      </c>
      <c r="D19" s="3" t="s">
        <v>13</v>
      </c>
      <c r="E19" s="3" t="s">
        <v>90</v>
      </c>
      <c r="F19" s="3" t="s">
        <v>91</v>
      </c>
      <c r="G19" s="5"/>
      <c r="H19" s="6" t="str">
        <f t="shared" ca="1" si="0"/>
        <v/>
      </c>
      <c r="I19" s="3"/>
      <c r="J19" s="6" t="str">
        <f t="shared" ca="1" si="1"/>
        <v>Sem prazo</v>
      </c>
      <c r="K19" s="3" t="s">
        <v>409</v>
      </c>
      <c r="L19" s="3" t="s">
        <v>92</v>
      </c>
      <c r="M19" s="20" t="s">
        <v>404</v>
      </c>
      <c r="N19" s="3" t="s">
        <v>56</v>
      </c>
      <c r="O19" s="3" t="s">
        <v>70</v>
      </c>
      <c r="P19" s="5"/>
    </row>
    <row r="20" spans="1:16" ht="75.95" customHeight="1" x14ac:dyDescent="0.25">
      <c r="A20" s="3" t="s">
        <v>93</v>
      </c>
      <c r="B20" s="8" t="s">
        <v>72</v>
      </c>
      <c r="C20" s="3" t="s">
        <v>94</v>
      </c>
      <c r="D20" s="3" t="s">
        <v>12</v>
      </c>
      <c r="E20" s="3" t="s">
        <v>90</v>
      </c>
      <c r="F20" s="3" t="s">
        <v>74</v>
      </c>
      <c r="G20" s="5"/>
      <c r="H20" s="6" t="str">
        <f t="shared" ca="1" si="0"/>
        <v/>
      </c>
      <c r="I20" s="3"/>
      <c r="J20" s="6" t="str">
        <f t="shared" ca="1" si="1"/>
        <v>Sem prazo</v>
      </c>
      <c r="K20" s="3" t="s">
        <v>410</v>
      </c>
      <c r="L20" s="3" t="s">
        <v>95</v>
      </c>
      <c r="M20" s="20" t="s">
        <v>404</v>
      </c>
      <c r="N20" s="3" t="s">
        <v>56</v>
      </c>
      <c r="O20" s="3" t="s">
        <v>70</v>
      </c>
      <c r="P20" s="5"/>
    </row>
    <row r="21" spans="1:16" ht="75.95" customHeight="1" x14ac:dyDescent="0.25">
      <c r="A21" s="3" t="s">
        <v>96</v>
      </c>
      <c r="B21" s="8" t="s">
        <v>72</v>
      </c>
      <c r="C21" s="3" t="s">
        <v>97</v>
      </c>
      <c r="D21" s="3" t="s">
        <v>13</v>
      </c>
      <c r="E21" s="3" t="s">
        <v>90</v>
      </c>
      <c r="F21" s="3" t="s">
        <v>74</v>
      </c>
      <c r="G21" s="5"/>
      <c r="H21" s="6" t="str">
        <f t="shared" ca="1" si="0"/>
        <v/>
      </c>
      <c r="I21" s="3" t="s">
        <v>93</v>
      </c>
      <c r="J21" s="6" t="str">
        <f t="shared" ca="1" si="1"/>
        <v>Sem prazo</v>
      </c>
      <c r="K21" s="3" t="s">
        <v>411</v>
      </c>
      <c r="L21" s="3" t="s">
        <v>98</v>
      </c>
      <c r="M21" s="20" t="s">
        <v>404</v>
      </c>
      <c r="N21" s="3" t="s">
        <v>56</v>
      </c>
      <c r="O21" s="3" t="s">
        <v>70</v>
      </c>
      <c r="P21" s="5"/>
    </row>
    <row r="22" spans="1:16" ht="75.95" customHeight="1" x14ac:dyDescent="0.25">
      <c r="A22" s="3" t="s">
        <v>99</v>
      </c>
      <c r="B22" s="7" t="s">
        <v>64</v>
      </c>
      <c r="C22" s="3" t="s">
        <v>100</v>
      </c>
      <c r="D22" s="3" t="s">
        <v>10</v>
      </c>
      <c r="E22" s="3" t="s">
        <v>53</v>
      </c>
      <c r="F22" s="3" t="s">
        <v>101</v>
      </c>
      <c r="G22" s="5"/>
      <c r="H22" s="6" t="str">
        <f t="shared" ca="1" si="0"/>
        <v/>
      </c>
      <c r="I22" s="3"/>
      <c r="J22" s="6" t="str">
        <f t="shared" ca="1" si="1"/>
        <v>Sem prazo</v>
      </c>
      <c r="K22" s="3" t="s">
        <v>102</v>
      </c>
      <c r="L22" s="3" t="s">
        <v>103</v>
      </c>
      <c r="M22" s="3"/>
      <c r="N22" s="3" t="s">
        <v>56</v>
      </c>
      <c r="O22" s="3" t="s">
        <v>43</v>
      </c>
      <c r="P22" s="5"/>
    </row>
    <row r="23" spans="1:16" ht="75.95" customHeight="1" x14ac:dyDescent="0.25">
      <c r="A23" s="3" t="s">
        <v>104</v>
      </c>
      <c r="B23" s="7" t="s">
        <v>64</v>
      </c>
      <c r="C23" s="3" t="s">
        <v>105</v>
      </c>
      <c r="D23" s="3" t="s">
        <v>10</v>
      </c>
      <c r="E23" s="3" t="s">
        <v>90</v>
      </c>
      <c r="F23" s="3" t="s">
        <v>54</v>
      </c>
      <c r="G23" s="5"/>
      <c r="H23" s="6" t="str">
        <f t="shared" ca="1" si="0"/>
        <v/>
      </c>
      <c r="I23" s="3"/>
      <c r="J23" s="6" t="str">
        <f t="shared" ca="1" si="1"/>
        <v>Sem prazo</v>
      </c>
      <c r="K23" s="3" t="s">
        <v>106</v>
      </c>
      <c r="L23" s="3" t="s">
        <v>107</v>
      </c>
      <c r="M23" s="3"/>
      <c r="N23" s="3" t="s">
        <v>56</v>
      </c>
      <c r="O23" s="3" t="s">
        <v>43</v>
      </c>
      <c r="P23" s="5"/>
    </row>
    <row r="24" spans="1:16" ht="75.95" customHeight="1" x14ac:dyDescent="0.25">
      <c r="A24" s="3" t="s">
        <v>108</v>
      </c>
      <c r="B24" s="7" t="s">
        <v>64</v>
      </c>
      <c r="C24" s="3" t="s">
        <v>109</v>
      </c>
      <c r="D24" s="3" t="s">
        <v>10</v>
      </c>
      <c r="E24" s="3" t="s">
        <v>90</v>
      </c>
      <c r="F24" s="3" t="s">
        <v>54</v>
      </c>
      <c r="G24" s="5"/>
      <c r="H24" s="6" t="str">
        <f t="shared" ca="1" si="0"/>
        <v/>
      </c>
      <c r="I24" s="3"/>
      <c r="J24" s="6" t="str">
        <f t="shared" ca="1" si="1"/>
        <v>Sem prazo</v>
      </c>
      <c r="K24" s="3" t="s">
        <v>110</v>
      </c>
      <c r="L24" s="3" t="s">
        <v>111</v>
      </c>
      <c r="M24" s="3"/>
      <c r="N24" s="3" t="s">
        <v>56</v>
      </c>
      <c r="O24" s="3" t="s">
        <v>70</v>
      </c>
      <c r="P24" s="5"/>
    </row>
    <row r="25" spans="1:16" ht="75.95" customHeight="1" x14ac:dyDescent="0.25">
      <c r="A25" s="3" t="s">
        <v>112</v>
      </c>
      <c r="B25" s="9" t="s">
        <v>113</v>
      </c>
      <c r="C25" s="3" t="s">
        <v>114</v>
      </c>
      <c r="D25" s="3" t="s">
        <v>11</v>
      </c>
      <c r="E25" s="3" t="s">
        <v>53</v>
      </c>
      <c r="F25" s="3" t="s">
        <v>54</v>
      </c>
      <c r="G25" s="5"/>
      <c r="H25" s="6" t="str">
        <f t="shared" ca="1" si="0"/>
        <v/>
      </c>
      <c r="I25" s="3"/>
      <c r="J25" s="6" t="str">
        <f t="shared" ca="1" si="1"/>
        <v>Sem prazo</v>
      </c>
      <c r="K25" s="3" t="s">
        <v>412</v>
      </c>
      <c r="L25" s="3" t="s">
        <v>115</v>
      </c>
      <c r="M25" s="20" t="s">
        <v>404</v>
      </c>
      <c r="N25" s="3" t="s">
        <v>56</v>
      </c>
      <c r="O25" s="3" t="s">
        <v>43</v>
      </c>
      <c r="P25" s="5"/>
    </row>
    <row r="26" spans="1:16" ht="75.95" customHeight="1" x14ac:dyDescent="0.25">
      <c r="A26" s="3" t="s">
        <v>116</v>
      </c>
      <c r="B26" s="9" t="s">
        <v>113</v>
      </c>
      <c r="C26" s="3" t="s">
        <v>117</v>
      </c>
      <c r="D26" s="3" t="s">
        <v>14</v>
      </c>
      <c r="E26" s="3" t="s">
        <v>53</v>
      </c>
      <c r="F26" s="3" t="s">
        <v>414</v>
      </c>
      <c r="G26" s="5"/>
      <c r="H26" s="6" t="str">
        <f t="shared" ca="1" si="0"/>
        <v/>
      </c>
      <c r="I26" s="3" t="s">
        <v>112</v>
      </c>
      <c r="J26" s="6" t="str">
        <f t="shared" ca="1" si="1"/>
        <v>Concluído</v>
      </c>
      <c r="K26" s="3" t="s">
        <v>426</v>
      </c>
      <c r="L26" s="3" t="s">
        <v>118</v>
      </c>
      <c r="M26" s="20" t="s">
        <v>416</v>
      </c>
      <c r="N26" s="3" t="s">
        <v>56</v>
      </c>
      <c r="O26" s="3" t="s">
        <v>43</v>
      </c>
      <c r="P26" s="5">
        <v>46287</v>
      </c>
    </row>
    <row r="27" spans="1:16" ht="75.95" customHeight="1" x14ac:dyDescent="0.25">
      <c r="A27" s="3" t="s">
        <v>119</v>
      </c>
      <c r="B27" s="9" t="s">
        <v>113</v>
      </c>
      <c r="C27" s="3" t="s">
        <v>120</v>
      </c>
      <c r="D27" s="3" t="s">
        <v>14</v>
      </c>
      <c r="E27" s="3" t="s">
        <v>53</v>
      </c>
      <c r="F27" s="3" t="s">
        <v>414</v>
      </c>
      <c r="G27" s="5"/>
      <c r="H27" s="6" t="str">
        <f t="shared" ca="1" si="0"/>
        <v/>
      </c>
      <c r="I27" s="3" t="s">
        <v>116</v>
      </c>
      <c r="J27" s="6" t="str">
        <f t="shared" ca="1" si="1"/>
        <v>Concluído</v>
      </c>
      <c r="K27" s="3" t="s">
        <v>429</v>
      </c>
      <c r="L27" s="3" t="s">
        <v>121</v>
      </c>
      <c r="M27" s="20" t="s">
        <v>416</v>
      </c>
      <c r="N27" s="3" t="s">
        <v>56</v>
      </c>
      <c r="O27" s="3" t="s">
        <v>43</v>
      </c>
      <c r="P27" s="5">
        <v>46287</v>
      </c>
    </row>
    <row r="28" spans="1:16" ht="75.95" customHeight="1" x14ac:dyDescent="0.25">
      <c r="A28" s="3" t="s">
        <v>122</v>
      </c>
      <c r="B28" s="9" t="s">
        <v>113</v>
      </c>
      <c r="C28" s="3" t="s">
        <v>123</v>
      </c>
      <c r="D28" s="3" t="s">
        <v>14</v>
      </c>
      <c r="E28" s="3" t="s">
        <v>53</v>
      </c>
      <c r="F28" s="3" t="s">
        <v>414</v>
      </c>
      <c r="G28" s="5"/>
      <c r="H28" s="6" t="str">
        <f t="shared" ca="1" si="0"/>
        <v/>
      </c>
      <c r="I28" s="3" t="s">
        <v>119</v>
      </c>
      <c r="J28" s="6" t="str">
        <f t="shared" ca="1" si="1"/>
        <v>Concluído</v>
      </c>
      <c r="K28" s="3" t="s">
        <v>427</v>
      </c>
      <c r="L28" s="3" t="s">
        <v>124</v>
      </c>
      <c r="M28" s="20" t="s">
        <v>416</v>
      </c>
      <c r="N28" s="3" t="s">
        <v>56</v>
      </c>
      <c r="O28" s="3" t="s">
        <v>43</v>
      </c>
      <c r="P28" s="5">
        <v>46287</v>
      </c>
    </row>
    <row r="29" spans="1:16" ht="75.95" customHeight="1" x14ac:dyDescent="0.25">
      <c r="A29" s="3" t="s">
        <v>125</v>
      </c>
      <c r="B29" s="9" t="s">
        <v>113</v>
      </c>
      <c r="C29" s="3" t="s">
        <v>126</v>
      </c>
      <c r="D29" s="3" t="s">
        <v>14</v>
      </c>
      <c r="E29" s="3" t="s">
        <v>53</v>
      </c>
      <c r="F29" s="3" t="s">
        <v>414</v>
      </c>
      <c r="G29" s="5"/>
      <c r="H29" s="6" t="str">
        <f t="shared" ca="1" si="0"/>
        <v/>
      </c>
      <c r="I29" s="3" t="s">
        <v>127</v>
      </c>
      <c r="J29" s="6" t="str">
        <f t="shared" ca="1" si="1"/>
        <v>Concluído</v>
      </c>
      <c r="K29" s="3" t="s">
        <v>417</v>
      </c>
      <c r="L29" s="3" t="s">
        <v>128</v>
      </c>
      <c r="M29" s="20" t="s">
        <v>416</v>
      </c>
      <c r="N29" s="3" t="s">
        <v>56</v>
      </c>
      <c r="O29" s="3" t="s">
        <v>43</v>
      </c>
      <c r="P29" s="5">
        <v>46287</v>
      </c>
    </row>
    <row r="30" spans="1:16" ht="75.95" customHeight="1" x14ac:dyDescent="0.25">
      <c r="A30" s="3" t="s">
        <v>129</v>
      </c>
      <c r="B30" s="9" t="s">
        <v>113</v>
      </c>
      <c r="C30" s="3" t="s">
        <v>130</v>
      </c>
      <c r="D30" s="3" t="s">
        <v>13</v>
      </c>
      <c r="E30" s="3" t="s">
        <v>39</v>
      </c>
      <c r="F30" s="3" t="s">
        <v>74</v>
      </c>
      <c r="G30" s="5"/>
      <c r="H30" s="6" t="str">
        <f t="shared" ca="1" si="0"/>
        <v/>
      </c>
      <c r="I30" s="3" t="s">
        <v>125</v>
      </c>
      <c r="J30" s="6" t="str">
        <f t="shared" ca="1" si="1"/>
        <v>Sem prazo</v>
      </c>
      <c r="K30" s="3" t="s">
        <v>428</v>
      </c>
      <c r="L30" s="3" t="s">
        <v>131</v>
      </c>
      <c r="M30" s="20" t="s">
        <v>416</v>
      </c>
      <c r="N30" s="3" t="s">
        <v>42</v>
      </c>
      <c r="O30" s="3" t="s">
        <v>43</v>
      </c>
      <c r="P30" s="5"/>
    </row>
    <row r="31" spans="1:16" ht="75.95" customHeight="1" x14ac:dyDescent="0.25">
      <c r="A31" s="3" t="s">
        <v>132</v>
      </c>
      <c r="B31" s="9" t="s">
        <v>113</v>
      </c>
      <c r="C31" s="3" t="s">
        <v>133</v>
      </c>
      <c r="D31" s="3" t="s">
        <v>13</v>
      </c>
      <c r="E31" s="3" t="s">
        <v>53</v>
      </c>
      <c r="F31" s="3" t="s">
        <v>40</v>
      </c>
      <c r="G31" s="5"/>
      <c r="H31" s="6" t="str">
        <f t="shared" ca="1" si="0"/>
        <v/>
      </c>
      <c r="I31" s="3" t="s">
        <v>125</v>
      </c>
      <c r="J31" s="6" t="str">
        <f t="shared" ca="1" si="1"/>
        <v>Sem prazo</v>
      </c>
      <c r="K31" s="3" t="s">
        <v>430</v>
      </c>
      <c r="L31" s="3" t="s">
        <v>134</v>
      </c>
      <c r="M31" s="20" t="s">
        <v>416</v>
      </c>
      <c r="N31" s="3" t="s">
        <v>56</v>
      </c>
      <c r="O31" s="3" t="s">
        <v>43</v>
      </c>
      <c r="P31" s="5"/>
    </row>
    <row r="32" spans="1:16" ht="75.95" customHeight="1" x14ac:dyDescent="0.25">
      <c r="A32" s="3" t="s">
        <v>135</v>
      </c>
      <c r="B32" s="10" t="s">
        <v>136</v>
      </c>
      <c r="C32" s="3" t="s">
        <v>137</v>
      </c>
      <c r="D32" s="3" t="s">
        <v>10</v>
      </c>
      <c r="E32" s="3" t="s">
        <v>53</v>
      </c>
      <c r="F32" s="3" t="s">
        <v>54</v>
      </c>
      <c r="G32" s="5"/>
      <c r="H32" s="6" t="str">
        <f t="shared" ca="1" si="0"/>
        <v/>
      </c>
      <c r="I32" s="3"/>
      <c r="J32" s="6" t="str">
        <f t="shared" ca="1" si="1"/>
        <v>Sem prazo</v>
      </c>
      <c r="K32" s="3" t="s">
        <v>138</v>
      </c>
      <c r="L32" s="3" t="s">
        <v>139</v>
      </c>
      <c r="M32" s="3"/>
      <c r="N32" s="3" t="s">
        <v>56</v>
      </c>
      <c r="O32" s="3" t="s">
        <v>43</v>
      </c>
      <c r="P32" s="5"/>
    </row>
    <row r="33" spans="1:16" ht="75.95" customHeight="1" x14ac:dyDescent="0.25">
      <c r="A33" s="3" t="s">
        <v>140</v>
      </c>
      <c r="B33" s="10" t="s">
        <v>136</v>
      </c>
      <c r="C33" s="3" t="s">
        <v>141</v>
      </c>
      <c r="D33" s="3" t="s">
        <v>12</v>
      </c>
      <c r="E33" s="3" t="s">
        <v>53</v>
      </c>
      <c r="F33" s="3" t="s">
        <v>54</v>
      </c>
      <c r="G33" s="5"/>
      <c r="H33" s="6" t="str">
        <f t="shared" ca="1" si="0"/>
        <v/>
      </c>
      <c r="I33" s="3" t="s">
        <v>142</v>
      </c>
      <c r="J33" s="6" t="str">
        <f t="shared" ca="1" si="1"/>
        <v>Sem prazo</v>
      </c>
      <c r="K33" s="3" t="s">
        <v>413</v>
      </c>
      <c r="L33" s="3" t="s">
        <v>143</v>
      </c>
      <c r="M33" s="20" t="s">
        <v>404</v>
      </c>
      <c r="N33" s="3" t="s">
        <v>56</v>
      </c>
      <c r="O33" s="3" t="s">
        <v>43</v>
      </c>
      <c r="P33" s="5"/>
    </row>
    <row r="34" spans="1:16" ht="75.95" customHeight="1" x14ac:dyDescent="0.25">
      <c r="A34" s="3" t="s">
        <v>144</v>
      </c>
      <c r="B34" s="11" t="s">
        <v>145</v>
      </c>
      <c r="C34" s="3" t="s">
        <v>146</v>
      </c>
      <c r="D34" s="3" t="s">
        <v>10</v>
      </c>
      <c r="E34" s="3" t="s">
        <v>90</v>
      </c>
      <c r="F34" s="3" t="s">
        <v>49</v>
      </c>
      <c r="G34" s="5"/>
      <c r="H34" s="6" t="str">
        <f t="shared" ca="1" si="0"/>
        <v/>
      </c>
      <c r="I34" s="3"/>
      <c r="J34" s="6" t="str">
        <f t="shared" ca="1" si="1"/>
        <v>Sem prazo</v>
      </c>
      <c r="K34" s="3" t="s">
        <v>147</v>
      </c>
      <c r="L34" s="3" t="s">
        <v>148</v>
      </c>
      <c r="M34" s="3"/>
      <c r="N34" s="3" t="s">
        <v>56</v>
      </c>
      <c r="O34" s="3" t="s">
        <v>149</v>
      </c>
      <c r="P34" s="5"/>
    </row>
    <row r="35" spans="1:16" ht="75.95" customHeight="1" x14ac:dyDescent="0.25">
      <c r="A35" s="3" t="s">
        <v>150</v>
      </c>
      <c r="B35" s="11" t="s">
        <v>145</v>
      </c>
      <c r="C35" s="3" t="s">
        <v>151</v>
      </c>
      <c r="D35" s="3" t="s">
        <v>10</v>
      </c>
      <c r="E35" s="3" t="s">
        <v>90</v>
      </c>
      <c r="F35" s="3" t="s">
        <v>49</v>
      </c>
      <c r="G35" s="5"/>
      <c r="H35" s="6" t="str">
        <f t="shared" ca="1" si="0"/>
        <v/>
      </c>
      <c r="I35" s="3"/>
      <c r="J35" s="6" t="str">
        <f t="shared" ca="1" si="1"/>
        <v>Sem prazo</v>
      </c>
      <c r="K35" s="3" t="s">
        <v>152</v>
      </c>
      <c r="L35" s="3" t="s">
        <v>153</v>
      </c>
      <c r="M35" s="3"/>
      <c r="N35" s="3" t="s">
        <v>56</v>
      </c>
      <c r="O35" s="3" t="s">
        <v>149</v>
      </c>
      <c r="P35" s="5"/>
    </row>
    <row r="36" spans="1:16" ht="75.95" customHeight="1" x14ac:dyDescent="0.25">
      <c r="A36" s="3" t="s">
        <v>154</v>
      </c>
      <c r="B36" s="11" t="s">
        <v>145</v>
      </c>
      <c r="C36" s="3" t="s">
        <v>155</v>
      </c>
      <c r="D36" s="3" t="s">
        <v>15</v>
      </c>
      <c r="E36" s="3" t="s">
        <v>156</v>
      </c>
      <c r="F36" s="3" t="s">
        <v>54</v>
      </c>
      <c r="G36" s="5"/>
      <c r="H36" s="6" t="str">
        <f t="shared" ca="1" si="0"/>
        <v/>
      </c>
      <c r="I36" s="3"/>
      <c r="J36" s="6" t="str">
        <f t="shared" ca="1" si="1"/>
        <v>Em espera</v>
      </c>
      <c r="K36" s="3" t="s">
        <v>157</v>
      </c>
      <c r="L36" s="3" t="s">
        <v>158</v>
      </c>
      <c r="M36" s="3"/>
      <c r="N36" s="3" t="s">
        <v>56</v>
      </c>
      <c r="O36" s="3" t="s">
        <v>15</v>
      </c>
      <c r="P36" s="5"/>
    </row>
    <row r="37" spans="1:16" ht="75.95" customHeight="1" x14ac:dyDescent="0.25">
      <c r="A37" s="3" t="s">
        <v>159</v>
      </c>
      <c r="B37" s="10" t="s">
        <v>160</v>
      </c>
      <c r="C37" s="3" t="s">
        <v>161</v>
      </c>
      <c r="D37" s="3" t="s">
        <v>14</v>
      </c>
      <c r="E37" s="3" t="s">
        <v>90</v>
      </c>
      <c r="F37" s="3" t="s">
        <v>49</v>
      </c>
      <c r="G37" s="5"/>
      <c r="H37" s="6" t="str">
        <f t="shared" ca="1" si="0"/>
        <v/>
      </c>
      <c r="I37" s="3"/>
      <c r="J37" s="6" t="str">
        <f t="shared" ca="1" si="1"/>
        <v>Concluído</v>
      </c>
      <c r="K37" s="3" t="s">
        <v>162</v>
      </c>
      <c r="L37" s="3" t="s">
        <v>163</v>
      </c>
      <c r="M37" s="3" t="s">
        <v>164</v>
      </c>
      <c r="N37" s="3" t="s">
        <v>56</v>
      </c>
      <c r="O37" s="3" t="s">
        <v>43</v>
      </c>
      <c r="P37" s="5">
        <v>46287</v>
      </c>
    </row>
    <row r="38" spans="1:16" ht="75.95" customHeight="1" x14ac:dyDescent="0.25">
      <c r="A38" s="3" t="s">
        <v>165</v>
      </c>
      <c r="B38" s="10" t="s">
        <v>160</v>
      </c>
      <c r="C38" s="3" t="s">
        <v>166</v>
      </c>
      <c r="D38" s="3" t="s">
        <v>14</v>
      </c>
      <c r="E38" s="3" t="s">
        <v>90</v>
      </c>
      <c r="F38" s="3" t="s">
        <v>49</v>
      </c>
      <c r="G38" s="5"/>
      <c r="H38" s="6" t="str">
        <f t="shared" ca="1" si="0"/>
        <v/>
      </c>
      <c r="I38" s="3"/>
      <c r="J38" s="6" t="str">
        <f t="shared" ca="1" si="1"/>
        <v>Concluído</v>
      </c>
      <c r="K38" s="3" t="s">
        <v>162</v>
      </c>
      <c r="L38" s="3" t="s">
        <v>167</v>
      </c>
      <c r="M38" s="3" t="s">
        <v>164</v>
      </c>
      <c r="N38" s="3" t="s">
        <v>56</v>
      </c>
      <c r="O38" s="3" t="s">
        <v>43</v>
      </c>
      <c r="P38" s="5">
        <v>46287</v>
      </c>
    </row>
    <row r="39" spans="1:16" ht="75.95" customHeight="1" x14ac:dyDescent="0.25">
      <c r="A39" s="3" t="s">
        <v>168</v>
      </c>
      <c r="B39" s="10" t="s">
        <v>160</v>
      </c>
      <c r="C39" s="3" t="s">
        <v>169</v>
      </c>
      <c r="D39" s="3" t="s">
        <v>14</v>
      </c>
      <c r="E39" s="3" t="s">
        <v>90</v>
      </c>
      <c r="F39" s="3" t="s">
        <v>49</v>
      </c>
      <c r="G39" s="5"/>
      <c r="H39" s="6" t="str">
        <f t="shared" ca="1" si="0"/>
        <v/>
      </c>
      <c r="I39" s="3"/>
      <c r="J39" s="6" t="str">
        <f t="shared" ca="1" si="1"/>
        <v>Concluído</v>
      </c>
      <c r="K39" s="3" t="s">
        <v>162</v>
      </c>
      <c r="L39" s="3" t="s">
        <v>170</v>
      </c>
      <c r="M39" s="3" t="s">
        <v>164</v>
      </c>
      <c r="N39" s="3" t="s">
        <v>56</v>
      </c>
      <c r="O39" s="3" t="s">
        <v>43</v>
      </c>
      <c r="P39" s="5">
        <v>46287</v>
      </c>
    </row>
    <row r="40" spans="1:16" ht="75.95" customHeight="1" x14ac:dyDescent="0.25">
      <c r="A40" s="3" t="s">
        <v>171</v>
      </c>
      <c r="B40" s="10" t="s">
        <v>160</v>
      </c>
      <c r="C40" s="3" t="s">
        <v>172</v>
      </c>
      <c r="D40" s="3" t="s">
        <v>14</v>
      </c>
      <c r="E40" s="3" t="s">
        <v>90</v>
      </c>
      <c r="F40" s="3" t="s">
        <v>49</v>
      </c>
      <c r="G40" s="5"/>
      <c r="H40" s="6" t="str">
        <f t="shared" ca="1" si="0"/>
        <v/>
      </c>
      <c r="I40" s="3"/>
      <c r="J40" s="6" t="str">
        <f t="shared" ca="1" si="1"/>
        <v>Concluído</v>
      </c>
      <c r="K40" s="3" t="s">
        <v>162</v>
      </c>
      <c r="L40" s="3" t="s">
        <v>173</v>
      </c>
      <c r="M40" s="3" t="s">
        <v>164</v>
      </c>
      <c r="N40" s="3" t="s">
        <v>56</v>
      </c>
      <c r="O40" s="3" t="s">
        <v>43</v>
      </c>
      <c r="P40" s="5">
        <v>46287</v>
      </c>
    </row>
    <row r="41" spans="1:16" ht="75.95" customHeight="1" x14ac:dyDescent="0.25">
      <c r="A41" s="3" t="s">
        <v>174</v>
      </c>
      <c r="B41" s="10" t="s">
        <v>160</v>
      </c>
      <c r="C41" s="3" t="s">
        <v>175</v>
      </c>
      <c r="D41" s="3" t="s">
        <v>14</v>
      </c>
      <c r="E41" s="3" t="s">
        <v>90</v>
      </c>
      <c r="F41" s="3" t="s">
        <v>49</v>
      </c>
      <c r="G41" s="5"/>
      <c r="H41" s="6" t="str">
        <f t="shared" ca="1" si="0"/>
        <v/>
      </c>
      <c r="I41" s="3"/>
      <c r="J41" s="6" t="str">
        <f t="shared" ca="1" si="1"/>
        <v>Concluído</v>
      </c>
      <c r="K41" s="3" t="s">
        <v>162</v>
      </c>
      <c r="L41" s="3" t="s">
        <v>176</v>
      </c>
      <c r="M41" s="3" t="s">
        <v>164</v>
      </c>
      <c r="N41" s="3" t="s">
        <v>56</v>
      </c>
      <c r="O41" s="3" t="s">
        <v>43</v>
      </c>
      <c r="P41" s="5">
        <v>46287</v>
      </c>
    </row>
    <row r="42" spans="1:16" ht="75.95" customHeight="1" x14ac:dyDescent="0.25">
      <c r="A42" s="3" t="s">
        <v>177</v>
      </c>
      <c r="B42" s="10" t="s">
        <v>160</v>
      </c>
      <c r="C42" s="3" t="s">
        <v>178</v>
      </c>
      <c r="D42" s="3" t="s">
        <v>14</v>
      </c>
      <c r="E42" s="3" t="s">
        <v>90</v>
      </c>
      <c r="F42" s="3" t="s">
        <v>414</v>
      </c>
      <c r="G42" s="5"/>
      <c r="H42" s="6" t="str">
        <f t="shared" ca="1" si="0"/>
        <v/>
      </c>
      <c r="I42" s="3"/>
      <c r="J42" s="6" t="str">
        <f t="shared" ca="1" si="1"/>
        <v>Concluído</v>
      </c>
      <c r="K42" s="3" t="s">
        <v>429</v>
      </c>
      <c r="L42" s="3" t="s">
        <v>431</v>
      </c>
      <c r="M42" s="20" t="s">
        <v>416</v>
      </c>
      <c r="N42" s="3" t="s">
        <v>56</v>
      </c>
      <c r="O42" s="3" t="s">
        <v>43</v>
      </c>
      <c r="P42" s="5">
        <v>46287</v>
      </c>
    </row>
    <row r="43" spans="1:16" ht="75.95" customHeight="1" x14ac:dyDescent="0.25">
      <c r="A43" s="3" t="s">
        <v>179</v>
      </c>
      <c r="B43" s="10" t="s">
        <v>160</v>
      </c>
      <c r="C43" s="3" t="s">
        <v>180</v>
      </c>
      <c r="D43" s="3" t="s">
        <v>14</v>
      </c>
      <c r="E43" s="3" t="s">
        <v>90</v>
      </c>
      <c r="F43" s="3" t="s">
        <v>49</v>
      </c>
      <c r="G43" s="5"/>
      <c r="H43" s="6" t="str">
        <f t="shared" ca="1" si="0"/>
        <v/>
      </c>
      <c r="I43" s="3"/>
      <c r="J43" s="6" t="str">
        <f t="shared" ca="1" si="1"/>
        <v>Concluído</v>
      </c>
      <c r="K43" s="3" t="s">
        <v>162</v>
      </c>
      <c r="L43" s="3" t="s">
        <v>181</v>
      </c>
      <c r="M43" s="3" t="s">
        <v>182</v>
      </c>
      <c r="N43" s="3" t="s">
        <v>56</v>
      </c>
      <c r="O43" s="3" t="s">
        <v>43</v>
      </c>
      <c r="P43" s="5">
        <v>46287</v>
      </c>
    </row>
  </sheetData>
  <mergeCells count="2">
    <mergeCell ref="A1:P1"/>
    <mergeCell ref="A2:P2"/>
  </mergeCells>
  <conditionalFormatting sqref="D6:D1000">
    <cfRule type="expression" dxfId="10" priority="1">
      <formula>D6="Não iniciado"</formula>
    </cfRule>
    <cfRule type="expression" dxfId="9" priority="2">
      <formula>D6="Em andamento"</formula>
    </cfRule>
    <cfRule type="expression" dxfId="8" priority="3">
      <formula>D6="Bloqueado"</formula>
    </cfRule>
    <cfRule type="expression" dxfId="7" priority="4">
      <formula>D6="Em validação"</formula>
    </cfRule>
    <cfRule type="expression" dxfId="6" priority="5">
      <formula>D6="Concluído"</formula>
    </cfRule>
    <cfRule type="expression" dxfId="5" priority="6">
      <formula>D6="Em espera"</formula>
    </cfRule>
  </conditionalFormatting>
  <conditionalFormatting sqref="E6:E1000">
    <cfRule type="expression" dxfId="4" priority="7">
      <formula>E6="Crítica"</formula>
    </cfRule>
    <cfRule type="expression" dxfId="3" priority="8">
      <formula>E6="Alta"</formula>
    </cfRule>
    <cfRule type="expression" dxfId="2" priority="9">
      <formula>E6="Média"</formula>
    </cfRule>
    <cfRule type="expression" dxfId="1" priority="10">
      <formula>E6="Baixa"</formula>
    </cfRule>
  </conditionalFormatting>
  <conditionalFormatting sqref="J6:J1000">
    <cfRule type="expression" dxfId="0" priority="11">
      <formula>OR(J6="Atrasado",J6="Falta evidência",J6="Falta data")</formula>
    </cfRule>
  </conditionalFormatting>
  <dataValidations count="4">
    <dataValidation type="list" showErrorMessage="1" error="Selecione uma opção da lista." sqref="D6:D1000" xr:uid="{00000000-0002-0000-0100-000000000000}">
      <formula1>"Não iniciado,Em andamento,Bloqueado,Em validação,Concluído,Em espera"</formula1>
    </dataValidation>
    <dataValidation type="list" showErrorMessage="1" error="Selecione uma opção da lista." sqref="E6:E1000" xr:uid="{00000000-0002-0000-0100-000001000000}">
      <formula1>"Crítica,Alta,Média,Baixa"</formula1>
    </dataValidation>
    <dataValidation type="list" showErrorMessage="1" error="Selecione uma opção da lista." sqref="N6:N1000" xr:uid="{00000000-0002-0000-0100-000002000000}">
      <formula1>"Sim,Não"</formula1>
    </dataValidation>
    <dataValidation type="list" showErrorMessage="1" error="Selecione uma opção da lista." sqref="O6:O1000" xr:uid="{00000000-0002-0000-0100-000003000000}">
      <formula1>"Essencial,Homologação,Opcional,Em espera"</formula1>
    </dataValidation>
  </dataValidations>
  <hyperlinks>
    <hyperlink ref="M37" r:id="rId1" xr:uid="{00000000-0004-0000-0100-000000000000}"/>
    <hyperlink ref="M38" r:id="rId2" xr:uid="{00000000-0004-0000-0100-000001000000}"/>
    <hyperlink ref="M39" r:id="rId3" xr:uid="{00000000-0004-0000-0100-000002000000}"/>
    <hyperlink ref="M40" r:id="rId4" xr:uid="{00000000-0004-0000-0100-000003000000}"/>
    <hyperlink ref="M41" r:id="rId5" xr:uid="{00000000-0004-0000-0100-000004000000}"/>
    <hyperlink ref="M42" r:id="rId6" xr:uid="{00000000-0004-0000-0100-000005000000}"/>
    <hyperlink ref="M43" r:id="rId7" xr:uid="{00000000-0004-0000-0100-000006000000}"/>
    <hyperlink ref="M6" r:id="rId8" xr:uid="{876FDF55-9CE9-4545-8842-77B8EF8CEECB}"/>
    <hyperlink ref="M7" r:id="rId9" xr:uid="{9B0D2F81-76F7-4CC9-9834-6EF9B401AB93}"/>
    <hyperlink ref="M8" r:id="rId10" xr:uid="{3B13797B-2074-417C-86DF-611088C54BBB}"/>
    <hyperlink ref="M9" r:id="rId11" xr:uid="{99325D25-2552-4748-8234-38903B435F37}"/>
    <hyperlink ref="M10" r:id="rId12" xr:uid="{31B65F20-E443-4DC0-AABD-8440E35D4B1D}"/>
    <hyperlink ref="M11" r:id="rId13" xr:uid="{0C62FFB5-96BA-4A99-88BA-76F4C589A114}"/>
    <hyperlink ref="M12" r:id="rId14" xr:uid="{2DCBAA6E-4CF4-409F-8FAB-36F1D2911452}"/>
    <hyperlink ref="M13" r:id="rId15" xr:uid="{7ECF86F8-263E-43E8-B45C-5F2167E396EE}"/>
    <hyperlink ref="M14" r:id="rId16" xr:uid="{22EF4340-1AC2-49D8-B4DE-8F01CD9F2009}"/>
    <hyperlink ref="M15" r:id="rId17" xr:uid="{42A8E858-AC1F-4E72-BA9C-4DB2F2CFC4E6}"/>
    <hyperlink ref="M16" r:id="rId18" xr:uid="{AE7AD6C0-E2E5-46A0-B60F-816DB9BE34CB}"/>
    <hyperlink ref="M17" r:id="rId19" xr:uid="{008D12B0-71F5-4A8C-8455-2E7D9F054EB2}"/>
    <hyperlink ref="M18" r:id="rId20" xr:uid="{53CCBB92-A247-4566-9BDE-27607E64363B}"/>
    <hyperlink ref="M19" r:id="rId21" xr:uid="{3C9AC6CD-FC19-477D-BE71-71BE01ACF8C7}"/>
    <hyperlink ref="M20" r:id="rId22" xr:uid="{A7C4F547-81BD-40AC-87DD-1ADC23C7AD40}"/>
    <hyperlink ref="M21" r:id="rId23" xr:uid="{B510D1AF-DACC-4B61-9433-EDFC78835428}"/>
    <hyperlink ref="M25" r:id="rId24" xr:uid="{C300371D-1948-490F-835A-A309168FF196}"/>
    <hyperlink ref="M26" r:id="rId25" xr:uid="{11CE7FC8-3318-4912-9B09-D18F148388A6}"/>
    <hyperlink ref="M27" r:id="rId26" xr:uid="{2051A461-263D-4A51-86FE-1D506336C1AF}"/>
    <hyperlink ref="M28" r:id="rId27" xr:uid="{80570D3B-E74F-4030-B7B1-796DF20F57A8}"/>
    <hyperlink ref="M29" r:id="rId28" xr:uid="{D18A92DC-9879-4C0B-A2B6-3D1D7EB3E69B}"/>
    <hyperlink ref="M30" r:id="rId29" xr:uid="{123F25C1-CDA9-4BF5-B2E4-0E43F7550576}"/>
    <hyperlink ref="M31" r:id="rId30" xr:uid="{0E7E98E1-ADA2-4D92-A364-B835094E20C4}"/>
    <hyperlink ref="M33" r:id="rId31" xr:uid="{0AEFAC25-2DA6-4421-84CE-00B9A70DA406}"/>
  </hyperlink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161FF"/>
    <outlinePr summaryRight="0"/>
    <pageSetUpPr fitToPage="1"/>
  </sheetPr>
  <dimension ref="A1:F53"/>
  <sheetViews>
    <sheetView showGridLines="0" zoomScale="65" workbookViewId="0">
      <pane ySplit="5" topLeftCell="A6" activePane="bottomLeft" state="frozen"/>
      <selection pane="bottomLeft"/>
    </sheetView>
  </sheetViews>
  <sheetFormatPr defaultRowHeight="15" x14ac:dyDescent="0.25"/>
  <cols>
    <col min="1" max="6" width="43" customWidth="1"/>
  </cols>
  <sheetData>
    <row r="1" spans="1:6" ht="38.1" customHeight="1" x14ac:dyDescent="0.25">
      <c r="A1" s="21" t="s">
        <v>183</v>
      </c>
      <c r="B1" s="22"/>
      <c r="C1" s="22"/>
      <c r="D1" s="22"/>
      <c r="E1" s="22"/>
      <c r="F1" s="22"/>
    </row>
    <row r="2" spans="1:6" ht="36" customHeight="1" x14ac:dyDescent="0.25">
      <c r="A2" s="26" t="s">
        <v>184</v>
      </c>
      <c r="B2" s="22"/>
      <c r="C2" s="22"/>
      <c r="D2" s="22"/>
      <c r="E2" s="22"/>
      <c r="F2" s="22"/>
    </row>
    <row r="4" spans="1:6" ht="17.25" x14ac:dyDescent="0.3">
      <c r="A4" s="12" t="s">
        <v>10</v>
      </c>
      <c r="B4" s="13" t="s">
        <v>11</v>
      </c>
      <c r="C4" s="14" t="s">
        <v>12</v>
      </c>
      <c r="D4" s="15" t="s">
        <v>13</v>
      </c>
      <c r="E4" s="16" t="s">
        <v>14</v>
      </c>
      <c r="F4" s="17" t="s">
        <v>15</v>
      </c>
    </row>
    <row r="5" spans="1:6" x14ac:dyDescent="0.25">
      <c r="A5" t="str">
        <f>COUNTIF(Tarefas[Status],A$4)&amp;" tarefa(s)"</f>
        <v>6 tarefa(s)</v>
      </c>
      <c r="B5" t="str">
        <f>COUNTIF(Tarefas[Status],B$4)&amp;" tarefa(s)"</f>
        <v>1 tarefa(s)</v>
      </c>
      <c r="C5" t="str">
        <f>COUNTIF(Tarefas[Status],C$4)&amp;" tarefa(s)"</f>
        <v>6 tarefa(s)</v>
      </c>
      <c r="D5" t="str">
        <f>COUNTIF(Tarefas[Status],D$4)&amp;" tarefa(s)"</f>
        <v>9 tarefa(s)</v>
      </c>
      <c r="E5" t="str">
        <f>COUNTIF(Tarefas[Status],E$4)&amp;" tarefa(s)"</f>
        <v>15 tarefa(s)</v>
      </c>
      <c r="F5" t="str">
        <f>COUNTIF(Tarefas[Status],F$4)&amp;" tarefa(s)"</f>
        <v>1 tarefa(s)</v>
      </c>
    </row>
    <row r="6" spans="1:6" ht="93.95" customHeight="1" x14ac:dyDescent="0.25">
      <c r="A6" s="18" t="str">
        <f>IFERROR(INDEX(Tarefas[ID],_xlfn.AGGREGATE(15,6,(ROW(Tarefas[ID])-ROW(INDEX(Tarefas[ID],1))+1)/(Tarefas[Status]=A$4),ROWS(A$6:A6)))&amp;" | "&amp;INDEX(Tarefas[Tarefa],_xlfn.AGGREGATE(15,6,(ROW(Tarefas[ID])-ROW(INDEX(Tarefas[ID],1))+1)/(Tarefas[Status]=A$4),ROWS(A$6:A6)))&amp;CHAR(10)&amp;INDEX(Tarefas[Prioridade],_xlfn.AGGREGATE(15,6,(ROW(Tarefas[ID])-ROW(INDEX(Tarefas[ID],1))+1)/(Tarefas[Status]=A$4),ROWS(A$6:A6)))&amp;" · "&amp;INDEX(Tarefas[Responsável],_xlfn.AGGREGATE(15,6,(ROW(Tarefas[ID])-ROW(INDEX(Tarefas[ID],1))+1)/(Tarefas[Status]=A$4),ROWS(A$6:A6)))&amp;CHAR(10)&amp;IF(INDEX(Tarefas[Prazo],_xlfn.AGGREGATE(15,6,(ROW(Tarefas[ID])-ROW(INDEX(Tarefas[ID],1))+1)/(Tarefas[Status]=A$4),ROWS(A$6:A6)))=0,"Sem prazo",TEXT(INDEX(Tarefas[Prazo],_xlfn.AGGREGATE(15,6,(ROW(Tarefas[ID])-ROW(INDEX(Tarefas[ID],1))+1)/(Tarefas[Status]=A$4),ROWS(A$6:A6))),"dd/mm/yyyy")),"")</f>
        <v>T17 | Preparar conteúdo real de cupons, eventos e telefones
Alta · Conteúdo / cliente
Sem prazo</v>
      </c>
      <c r="B6" s="18" t="str">
        <f>IFERROR(INDEX(Tarefas[ID],_xlfn.AGGREGATE(15,6,(ROW(Tarefas[ID])-ROW(INDEX(Tarefas[ID],1))+1)/(Tarefas[Status]=B$4),ROWS(B$6:B6)))&amp;" | "&amp;INDEX(Tarefas[Tarefa],_xlfn.AGGREGATE(15,6,(ROW(Tarefas[ID])-ROW(INDEX(Tarefas[ID],1))+1)/(Tarefas[Status]=B$4),ROWS(B$6:B6)))&amp;CHAR(10)&amp;INDEX(Tarefas[Prioridade],_xlfn.AGGREGATE(15,6,(ROW(Tarefas[ID])-ROW(INDEX(Tarefas[ID],1))+1)/(Tarefas[Status]=B$4),ROWS(B$6:B6)))&amp;" · "&amp;INDEX(Tarefas[Responsável],_xlfn.AGGREGATE(15,6,(ROW(Tarefas[ID])-ROW(INDEX(Tarefas[ID],1))+1)/(Tarefas[Status]=B$4),ROWS(B$6:B6)))&amp;CHAR(10)&amp;IF(INDEX(Tarefas[Prazo],_xlfn.AGGREGATE(15,6,(ROW(Tarefas[ID])-ROW(INDEX(Tarefas[ID],1))+1)/(Tarefas[Status]=B$4),ROWS(B$6:B6)))=0,"Sem prazo",TEXT(INDEX(Tarefas[Prazo],_xlfn.AGGREGATE(15,6,(ROW(Tarefas[ID])-ROW(INDEX(Tarefas[ID],1))+1)/(Tarefas[Status]=B$4),ROWS(B$6:B6))),"dd/mm/yyyy")),"")</f>
        <v>T20 | Definir escopo final da entrega
Alta · Responsável do projeto
Sem prazo</v>
      </c>
      <c r="C6" s="18" t="str">
        <f>IFERROR(INDEX(Tarefas[ID],_xlfn.AGGREGATE(15,6,(ROW(Tarefas[ID])-ROW(INDEX(Tarefas[ID],1))+1)/(Tarefas[Status]=C$4),ROWS(C$6:C6)))&amp;" | "&amp;INDEX(Tarefas[Tarefa],_xlfn.AGGREGATE(15,6,(ROW(Tarefas[ID])-ROW(INDEX(Tarefas[ID],1))+1)/(Tarefas[Status]=C$4),ROWS(C$6:C6)))&amp;CHAR(10)&amp;INDEX(Tarefas[Prioridade],_xlfn.AGGREGATE(15,6,(ROW(Tarefas[ID])-ROW(INDEX(Tarefas[ID],1))+1)/(Tarefas[Status]=C$4),ROWS(C$6:C6)))&amp;" · "&amp;INDEX(Tarefas[Responsável],_xlfn.AGGREGATE(15,6,(ROW(Tarefas[ID])-ROW(INDEX(Tarefas[ID],1))+1)/(Tarefas[Status]=C$4),ROWS(C$6:C6)))&amp;CHAR(10)&amp;IF(INDEX(Tarefas[Prazo],_xlfn.AGGREGATE(15,6,(ROW(Tarefas[ID])-ROW(INDEX(Tarefas[ID],1))+1)/(Tarefas[Status]=C$4),ROWS(C$6:C6)))=0,"Sem prazo",TEXT(INDEX(Tarefas[Prazo],_xlfn.AGGREGATE(15,6,(ROW(Tarefas[ID])-ROW(INDEX(Tarefas[ID],1))+1)/(Tarefas[Status]=C$4),ROWS(C$6:C6))),"dd/mm/yyyy")),"")</f>
        <v>T04 | Disponibilizar PostgreSQL
Alta · Responsável do projeto
Sem prazo</v>
      </c>
      <c r="D6" s="18" t="str">
        <f>IFERROR(INDEX(Tarefas[ID],_xlfn.AGGREGATE(15,6,(ROW(Tarefas[ID])-ROW(INDEX(Tarefas[ID],1))+1)/(Tarefas[Status]=D$4),ROWS(D$6:D6)))&amp;" | "&amp;INDEX(Tarefas[Tarefa],_xlfn.AGGREGATE(15,6,(ROW(Tarefas[ID])-ROW(INDEX(Tarefas[ID],1))+1)/(Tarefas[Status]=D$4),ROWS(D$6:D6)))&amp;CHAR(10)&amp;INDEX(Tarefas[Prioridade],_xlfn.AGGREGATE(15,6,(ROW(Tarefas[ID])-ROW(INDEX(Tarefas[ID],1))+1)/(Tarefas[Status]=D$4),ROWS(D$6:D6)))&amp;" · "&amp;INDEX(Tarefas[Responsável],_xlfn.AGGREGATE(15,6,(ROW(Tarefas[ID])-ROW(INDEX(Tarefas[ID],1))+1)/(Tarefas[Status]=D$4),ROWS(D$6:D6)))&amp;CHAR(10)&amp;IF(INDEX(Tarefas[Prazo],_xlfn.AGGREGATE(15,6,(ROW(Tarefas[ID])-ROW(INDEX(Tarefas[ID],1))+1)/(Tarefas[Status]=D$4),ROWS(D$6:D6)))=0,"Sem prazo",TEXT(INDEX(Tarefas[Prazo],_xlfn.AGGREGATE(15,6,(ROW(Tarefas[ID])-ROW(INDEX(Tarefas[ID],1))+1)/(Tarefas[Status]=D$4),ROWS(D$6:D6))),"dd/mm/yyyy")),"")</f>
        <v>T02 | Persistir SSL e definir renovação
Crítica · Hospedagem
Sem prazo</v>
      </c>
      <c r="E6" s="18" t="str">
        <f>IFERROR(INDEX(Tarefas[ID],_xlfn.AGGREGATE(15,6,(ROW(Tarefas[ID])-ROW(INDEX(Tarefas[ID],1))+1)/(Tarefas[Status]=E$4),ROWS(E$6:E6)))&amp;" | "&amp;INDEX(Tarefas[Tarefa],_xlfn.AGGREGATE(15,6,(ROW(Tarefas[ID])-ROW(INDEX(Tarefas[ID],1))+1)/(Tarefas[Status]=E$4),ROWS(E$6:E6)))&amp;CHAR(10)&amp;INDEX(Tarefas[Prioridade],_xlfn.AGGREGATE(15,6,(ROW(Tarefas[ID])-ROW(INDEX(Tarefas[ID],1))+1)/(Tarefas[Status]=E$4),ROWS(E$6:E6)))&amp;" · "&amp;INDEX(Tarefas[Responsável],_xlfn.AGGREGATE(15,6,(ROW(Tarefas[ID])-ROW(INDEX(Tarefas[ID],1))+1)/(Tarefas[Status]=E$4),ROWS(E$6:E6)))&amp;CHAR(10)&amp;IF(INDEX(Tarefas[Prazo],_xlfn.AGGREGATE(15,6,(ROW(Tarefas[ID])-ROW(INDEX(Tarefas[ID],1))+1)/(Tarefas[Status]=E$4),ROWS(E$6:E6)))=0,"Sem prazo",TEXT(INDEX(Tarefas[Prazo],_xlfn.AGGREGATE(15,6,(ROW(Tarefas[ID])-ROW(INDEX(Tarefas[ID],1))+1)/(Tarefas[Status]=E$4),ROWS(E$6:E6))),"dd/mm/yyyy")),"")</f>
        <v>T01 | Restaurar HTTPS dos dois subdomínios
Crítica · Codex
Sem prazo</v>
      </c>
      <c r="F6" s="18" t="str">
        <f>IFERROR(INDEX(Tarefas[ID],_xlfn.AGGREGATE(15,6,(ROW(Tarefas[ID])-ROW(INDEX(Tarefas[ID],1))+1)/(Tarefas[Status]=F$4),ROWS(F$6:F6)))&amp;" | "&amp;INDEX(Tarefas[Tarefa],_xlfn.AGGREGATE(15,6,(ROW(Tarefas[ID])-ROW(INDEX(Tarefas[ID],1))+1)/(Tarefas[Status]=F$4),ROWS(F$6:F6)))&amp;CHAR(10)&amp;INDEX(Tarefas[Prioridade],_xlfn.AGGREGATE(15,6,(ROW(Tarefas[ID])-ROW(INDEX(Tarefas[ID],1))+1)/(Tarefas[Status]=F$4),ROWS(F$6:F6)))&amp;" · "&amp;INDEX(Tarefas[Responsável],_xlfn.AGGREGATE(15,6,(ROW(Tarefas[ID])-ROW(INDEX(Tarefas[ID],1))+1)/(Tarefas[Status]=F$4),ROWS(F$6:F6)))&amp;CHAR(10)&amp;IF(INDEX(Tarefas[Prazo],_xlfn.AGGREGATE(15,6,(ROW(Tarefas[ID])-ROW(INDEX(Tarefas[ID],1))+1)/(Tarefas[Status]=F$4),ROWS(F$6:F6)))=0,"Sem prazo",TEXT(INDEX(Tarefas[Prazo],_xlfn.AGGREGATE(15,6,(ROW(Tarefas[ID])-ROW(INDEX(Tarefas[ID],1))+1)/(Tarefas[Status]=F$4),ROWS(F$6:F6))),"dd/mm/yyyy")),"")</f>
        <v>T31 | Pagamento integrado PIX, boleto ou cartão
Baixa · Responsável do projeto
Sem prazo</v>
      </c>
    </row>
    <row r="7" spans="1:6" ht="93.95" customHeight="1" x14ac:dyDescent="0.25">
      <c r="A7" s="19" t="str">
        <f>IFERROR(INDEX(Tarefas[ID],_xlfn.AGGREGATE(15,6,(ROW(Tarefas[ID])-ROW(INDEX(Tarefas[ID],1))+1)/(Tarefas[Status]=A$4),ROWS(A$6:A7)))&amp;" | "&amp;INDEX(Tarefas[Tarefa],_xlfn.AGGREGATE(15,6,(ROW(Tarefas[ID])-ROW(INDEX(Tarefas[ID],1))+1)/(Tarefas[Status]=A$4),ROWS(A$6:A7)))&amp;CHAR(10)&amp;INDEX(Tarefas[Prioridade],_xlfn.AGGREGATE(15,6,(ROW(Tarefas[ID])-ROW(INDEX(Tarefas[ID],1))+1)/(Tarefas[Status]=A$4),ROWS(A$6:A7)))&amp;" · "&amp;INDEX(Tarefas[Responsável],_xlfn.AGGREGATE(15,6,(ROW(Tarefas[ID])-ROW(INDEX(Tarefas[ID],1))+1)/(Tarefas[Status]=A$4),ROWS(A$6:A7)))&amp;CHAR(10)&amp;IF(INDEX(Tarefas[Prazo],_xlfn.AGGREGATE(15,6,(ROW(Tarefas[ID])-ROW(INDEX(Tarefas[ID],1))+1)/(Tarefas[Status]=A$4),ROWS(A$6:A7)))=0,"Sem prazo",TEXT(INDEX(Tarefas[Prazo],_xlfn.AGGREGATE(15,6,(ROW(Tarefas[ID])-ROW(INDEX(Tarefas[ID],1))+1)/(Tarefas[Status]=A$4),ROWS(A$6:A7))),"dd/mm/yyyy")),"")</f>
        <v>T18 | Confirmar contato comercial do rodapé
Média · Responsável do projeto
Sem prazo</v>
      </c>
      <c r="B7" s="19" t="str">
        <f>IFERROR(INDEX(Tarefas[ID],_xlfn.AGGREGATE(15,6,(ROW(Tarefas[ID])-ROW(INDEX(Tarefas[ID],1))+1)/(Tarefas[Status]=B$4),ROWS(B$6:B7)))&amp;" | "&amp;INDEX(Tarefas[Tarefa],_xlfn.AGGREGATE(15,6,(ROW(Tarefas[ID])-ROW(INDEX(Tarefas[ID],1))+1)/(Tarefas[Status]=B$4),ROWS(B$6:B7)))&amp;CHAR(10)&amp;INDEX(Tarefas[Prioridade],_xlfn.AGGREGATE(15,6,(ROW(Tarefas[ID])-ROW(INDEX(Tarefas[ID],1))+1)/(Tarefas[Status]=B$4),ROWS(B$6:B7)))&amp;" · "&amp;INDEX(Tarefas[Responsável],_xlfn.AGGREGATE(15,6,(ROW(Tarefas[ID])-ROW(INDEX(Tarefas[ID],1))+1)/(Tarefas[Status]=B$4),ROWS(B$6:B7)))&amp;CHAR(10)&amp;IF(INDEX(Tarefas[Prazo],_xlfn.AGGREGATE(15,6,(ROW(Tarefas[ID])-ROW(INDEX(Tarefas[ID],1))+1)/(Tarefas[Status]=B$4),ROWS(B$6:B7)))=0,"Sem prazo",TEXT(INDEX(Tarefas[Prazo],_xlfn.AGGREGATE(15,6,(ROW(Tarefas[ID])-ROW(INDEX(Tarefas[ID],1))+1)/(Tarefas[Status]=B$4),ROWS(B$6:B7))),"dd/mm/yyyy")),"")</f>
        <v/>
      </c>
      <c r="C7" s="19" t="str">
        <f>IFERROR(INDEX(Tarefas[ID],_xlfn.AGGREGATE(15,6,(ROW(Tarefas[ID])-ROW(INDEX(Tarefas[ID],1))+1)/(Tarefas[Status]=C$4),ROWS(C$6:C7)))&amp;" | "&amp;INDEX(Tarefas[Tarefa],_xlfn.AGGREGATE(15,6,(ROW(Tarefas[ID])-ROW(INDEX(Tarefas[ID],1))+1)/(Tarefas[Status]=C$4),ROWS(C$6:C7)))&amp;CHAR(10)&amp;INDEX(Tarefas[Prioridade],_xlfn.AGGREGATE(15,6,(ROW(Tarefas[ID])-ROW(INDEX(Tarefas[ID],1))+1)/(Tarefas[Status]=C$4),ROWS(C$6:C7)))&amp;" · "&amp;INDEX(Tarefas[Responsável],_xlfn.AGGREGATE(15,6,(ROW(Tarefas[ID])-ROW(INDEX(Tarefas[ID],1))+1)/(Tarefas[Status]=C$4),ROWS(C$6:C7)))&amp;CHAR(10)&amp;IF(INDEX(Tarefas[Prazo],_xlfn.AGGREGATE(15,6,(ROW(Tarefas[ID])-ROW(INDEX(Tarefas[ID],1))+1)/(Tarefas[Status]=C$4),ROWS(C$6:C7)))=0,"Sem prazo",TEXT(INDEX(Tarefas[Prazo],_xlfn.AGGREGATE(15,6,(ROW(Tarefas[ID])-ROW(INDEX(Tarefas[ID],1))+1)/(Tarefas[Status]=C$4),ROWS(C$6:C7))),"dd/mm/yyyy")),"")</f>
        <v>T05 | Migrar dados e imagens para PostgreSQL
Alta · Desenvolvimento
Sem prazo</v>
      </c>
      <c r="D7" s="19" t="str">
        <f>IFERROR(INDEX(Tarefas[ID],_xlfn.AGGREGATE(15,6,(ROW(Tarefas[ID])-ROW(INDEX(Tarefas[ID],1))+1)/(Tarefas[Status]=D$4),ROWS(D$6:D7)))&amp;" | "&amp;INDEX(Tarefas[Tarefa],_xlfn.AGGREGATE(15,6,(ROW(Tarefas[ID])-ROW(INDEX(Tarefas[ID],1))+1)/(Tarefas[Status]=D$4),ROWS(D$6:D7)))&amp;CHAR(10)&amp;INDEX(Tarefas[Prioridade],_xlfn.AGGREGATE(15,6,(ROW(Tarefas[ID])-ROW(INDEX(Tarefas[ID],1))+1)/(Tarefas[Status]=D$4),ROWS(D$6:D7)))&amp;" · "&amp;INDEX(Tarefas[Responsável],_xlfn.AGGREGATE(15,6,(ROW(Tarefas[ID])-ROW(INDEX(Tarefas[ID],1))+1)/(Tarefas[Status]=D$4),ROWS(D$6:D7)))&amp;CHAR(10)&amp;IF(INDEX(Tarefas[Prazo],_xlfn.AGGREGATE(15,6,(ROW(Tarefas[ID])-ROW(INDEX(Tarefas[ID],1))+1)/(Tarefas[Status]=D$4),ROWS(D$6:D7)))=0,"Sem prazo",TEXT(INDEX(Tarefas[Prazo],_xlfn.AGGREGATE(15,6,(ROW(Tarefas[ID])-ROW(INDEX(Tarefas[ID],1))+1)/(Tarefas[Status]=D$4),ROWS(D$6:D7))),"dd/mm/yyyy")),"")</f>
        <v>T03 | Desativar DEBUG de produção de forma persistente
Crítica · Desenvolvimento
Sem prazo</v>
      </c>
      <c r="E7" s="19" t="str">
        <f>IFERROR(INDEX(Tarefas[ID],_xlfn.AGGREGATE(15,6,(ROW(Tarefas[ID])-ROW(INDEX(Tarefas[ID],1))+1)/(Tarefas[Status]=E$4),ROWS(E$6:E7)))&amp;" | "&amp;INDEX(Tarefas[Tarefa],_xlfn.AGGREGATE(15,6,(ROW(Tarefas[ID])-ROW(INDEX(Tarefas[ID],1))+1)/(Tarefas[Status]=E$4),ROWS(E$6:E7)))&amp;CHAR(10)&amp;INDEX(Tarefas[Prioridade],_xlfn.AGGREGATE(15,6,(ROW(Tarefas[ID])-ROW(INDEX(Tarefas[ID],1))+1)/(Tarefas[Status]=E$4),ROWS(E$6:E7)))&amp;" · "&amp;INDEX(Tarefas[Responsável],_xlfn.AGGREGATE(15,6,(ROW(Tarefas[ID])-ROW(INDEX(Tarefas[ID],1))+1)/(Tarefas[Status]=E$4),ROWS(E$6:E7)))&amp;CHAR(10)&amp;IF(INDEX(Tarefas[Prazo],_xlfn.AGGREGATE(15,6,(ROW(Tarefas[ID])-ROW(INDEX(Tarefas[ID],1))+1)/(Tarefas[Status]=E$4),ROWS(E$6:E7)))=0,"Sem prazo",TEXT(INDEX(Tarefas[Prazo],_xlfn.AGGREGATE(15,6,(ROW(Tarefas[ID])-ROW(INDEX(Tarefas[ID],1))+1)/(Tarefas[Status]=E$4),ROWS(E$6:E7))),"dd/mm/yyyy")),"")</f>
        <v>T07 | Corrigir interesse e contadores de eventos
Alta · Codex
Sem prazo</v>
      </c>
      <c r="F7" s="19" t="str">
        <f>IFERROR(INDEX(Tarefas[ID],_xlfn.AGGREGATE(15,6,(ROW(Tarefas[ID])-ROW(INDEX(Tarefas[ID],1))+1)/(Tarefas[Status]=F$4),ROWS(F$6:F7)))&amp;" | "&amp;INDEX(Tarefas[Tarefa],_xlfn.AGGREGATE(15,6,(ROW(Tarefas[ID])-ROW(INDEX(Tarefas[ID],1))+1)/(Tarefas[Status]=F$4),ROWS(F$6:F7)))&amp;CHAR(10)&amp;INDEX(Tarefas[Prioridade],_xlfn.AGGREGATE(15,6,(ROW(Tarefas[ID])-ROW(INDEX(Tarefas[ID],1))+1)/(Tarefas[Status]=F$4),ROWS(F$6:F7)))&amp;" · "&amp;INDEX(Tarefas[Responsável],_xlfn.AGGREGATE(15,6,(ROW(Tarefas[ID])-ROW(INDEX(Tarefas[ID],1))+1)/(Tarefas[Status]=F$4),ROWS(F$6:F7)))&amp;CHAR(10)&amp;IF(INDEX(Tarefas[Prazo],_xlfn.AGGREGATE(15,6,(ROW(Tarefas[ID])-ROW(INDEX(Tarefas[ID],1))+1)/(Tarefas[Status]=F$4),ROWS(F$6:F7)))=0,"Sem prazo",TEXT(INDEX(Tarefas[Prazo],_xlfn.AGGREGATE(15,6,(ROW(Tarefas[ID])-ROW(INDEX(Tarefas[ID],1))+1)/(Tarefas[Status]=F$4),ROWS(F$6:F7))),"dd/mm/yyyy")),"")</f>
        <v/>
      </c>
    </row>
    <row r="8" spans="1:6" ht="93.95" customHeight="1" x14ac:dyDescent="0.25">
      <c r="A8" s="18" t="str">
        <f>IFERROR(INDEX(Tarefas[ID],_xlfn.AGGREGATE(15,6,(ROW(Tarefas[ID])-ROW(INDEX(Tarefas[ID],1))+1)/(Tarefas[Status]=A$4),ROWS(A$6:A8)))&amp;" | "&amp;INDEX(Tarefas[Tarefa],_xlfn.AGGREGATE(15,6,(ROW(Tarefas[ID])-ROW(INDEX(Tarefas[ID],1))+1)/(Tarefas[Status]=A$4),ROWS(A$6:A8)))&amp;CHAR(10)&amp;INDEX(Tarefas[Prioridade],_xlfn.AGGREGATE(15,6,(ROW(Tarefas[ID])-ROW(INDEX(Tarefas[ID],1))+1)/(Tarefas[Status]=A$4),ROWS(A$6:A8)))&amp;" · "&amp;INDEX(Tarefas[Responsável],_xlfn.AGGREGATE(15,6,(ROW(Tarefas[ID])-ROW(INDEX(Tarefas[ID],1))+1)/(Tarefas[Status]=A$4),ROWS(A$6:A8)))&amp;CHAR(10)&amp;IF(INDEX(Tarefas[Prazo],_xlfn.AGGREGATE(15,6,(ROW(Tarefas[ID])-ROW(INDEX(Tarefas[ID],1))+1)/(Tarefas[Status]=A$4),ROWS(A$6:A8)))=0,"Sem prazo",TEXT(INDEX(Tarefas[Prazo],_xlfn.AGGREGATE(15,6,(ROW(Tarefas[ID])-ROW(INDEX(Tarefas[ID],1))+1)/(Tarefas[Status]=A$4),ROWS(A$6:A8))),"dd/mm/yyyy")),"")</f>
        <v>T19 | Revisar cadastros duplicados de anunciantes
Média · Responsável do projeto
Sem prazo</v>
      </c>
      <c r="B8" s="18" t="str">
        <f>IFERROR(INDEX(Tarefas[ID],_xlfn.AGGREGATE(15,6,(ROW(Tarefas[ID])-ROW(INDEX(Tarefas[ID],1))+1)/(Tarefas[Status]=B$4),ROWS(B$6:B8)))&amp;" | "&amp;INDEX(Tarefas[Tarefa],_xlfn.AGGREGATE(15,6,(ROW(Tarefas[ID])-ROW(INDEX(Tarefas[ID],1))+1)/(Tarefas[Status]=B$4),ROWS(B$6:B8)))&amp;CHAR(10)&amp;INDEX(Tarefas[Prioridade],_xlfn.AGGREGATE(15,6,(ROW(Tarefas[ID])-ROW(INDEX(Tarefas[ID],1))+1)/(Tarefas[Status]=B$4),ROWS(B$6:B8)))&amp;" · "&amp;INDEX(Tarefas[Responsável],_xlfn.AGGREGATE(15,6,(ROW(Tarefas[ID])-ROW(INDEX(Tarefas[ID],1))+1)/(Tarefas[Status]=B$4),ROWS(B$6:B8)))&amp;CHAR(10)&amp;IF(INDEX(Tarefas[Prazo],_xlfn.AGGREGATE(15,6,(ROW(Tarefas[ID])-ROW(INDEX(Tarefas[ID],1))+1)/(Tarefas[Status]=B$4),ROWS(B$6:B8)))=0,"Sem prazo",TEXT(INDEX(Tarefas[Prazo],_xlfn.AGGREGATE(15,6,(ROW(Tarefas[ID])-ROW(INDEX(Tarefas[ID],1))+1)/(Tarefas[Status]=B$4),ROWS(B$6:B8))),"dd/mm/yyyy")),"")</f>
        <v/>
      </c>
      <c r="C8" s="18" t="str">
        <f>IFERROR(INDEX(Tarefas[ID],_xlfn.AGGREGATE(15,6,(ROW(Tarefas[ID])-ROW(INDEX(Tarefas[ID],1))+1)/(Tarefas[Status]=C$4),ROWS(C$6:C8)))&amp;" | "&amp;INDEX(Tarefas[Tarefa],_xlfn.AGGREGATE(15,6,(ROW(Tarefas[ID])-ROW(INDEX(Tarefas[ID],1))+1)/(Tarefas[Status]=C$4),ROWS(C$6:C8)))&amp;CHAR(10)&amp;INDEX(Tarefas[Prioridade],_xlfn.AGGREGATE(15,6,(ROW(Tarefas[ID])-ROW(INDEX(Tarefas[ID],1))+1)/(Tarefas[Status]=C$4),ROWS(C$6:C8)))&amp;" · "&amp;INDEX(Tarefas[Responsável],_xlfn.AGGREGATE(15,6,(ROW(Tarefas[ID])-ROW(INDEX(Tarefas[ID],1))+1)/(Tarefas[Status]=C$4),ROWS(C$6:C8)))&amp;CHAR(10)&amp;IF(INDEX(Tarefas[Prazo],_xlfn.AGGREGATE(15,6,(ROW(Tarefas[ID])-ROW(INDEX(Tarefas[ID],1))+1)/(Tarefas[Status]=C$4),ROWS(C$6:C8)))=0,"Sem prazo",TEXT(INDEX(Tarefas[Prazo],_xlfn.AGGREGATE(15,6,(ROW(Tarefas[ID])-ROW(INDEX(Tarefas[ID],1))+1)/(Tarefas[Status]=C$4),ROWS(C$6:C8))),"dd/mm/yyyy")),"")</f>
        <v>T08 | Configurar serviço de e-mail
Alta · Responsável do projeto
Sem prazo</v>
      </c>
      <c r="D8" s="18" t="str">
        <f>IFERROR(INDEX(Tarefas[ID],_xlfn.AGGREGATE(15,6,(ROW(Tarefas[ID])-ROW(INDEX(Tarefas[ID],1))+1)/(Tarefas[Status]=D$4),ROWS(D$6:D8)))&amp;" | "&amp;INDEX(Tarefas[Tarefa],_xlfn.AGGREGATE(15,6,(ROW(Tarefas[ID])-ROW(INDEX(Tarefas[ID],1))+1)/(Tarefas[Status]=D$4),ROWS(D$6:D8)))&amp;CHAR(10)&amp;INDEX(Tarefas[Prioridade],_xlfn.AGGREGATE(15,6,(ROW(Tarefas[ID])-ROW(INDEX(Tarefas[ID],1))+1)/(Tarefas[Status]=D$4),ROWS(D$6:D8)))&amp;" · "&amp;INDEX(Tarefas[Responsável],_xlfn.AGGREGATE(15,6,(ROW(Tarefas[ID])-ROW(INDEX(Tarefas[ID],1))+1)/(Tarefas[Status]=D$4),ROWS(D$6:D8)))&amp;CHAR(10)&amp;IF(INDEX(Tarefas[Prazo],_xlfn.AGGREGATE(15,6,(ROW(Tarefas[ID])-ROW(INDEX(Tarefas[ID],1))+1)/(Tarefas[Status]=D$4),ROWS(D$6:D8)))=0,"Sem prazo",TEXT(INDEX(Tarefas[Prazo],_xlfn.AGGREGATE(15,6,(ROW(Tarefas[ID])-ROW(INDEX(Tarefas[ID],1))+1)/(Tarefas[Status]=D$4),ROWS(D$6:D8))),"dd/mm/yyyy")),"")</f>
        <v>T06 | Comprovar backup externo e recuperação
Alta · Hospedagem
Sem prazo</v>
      </c>
      <c r="E8" s="18" t="str">
        <f>IFERROR(INDEX(Tarefas[ID],_xlfn.AGGREGATE(15,6,(ROW(Tarefas[ID])-ROW(INDEX(Tarefas[ID],1))+1)/(Tarefas[Status]=E$4),ROWS(E$6:E8)))&amp;" | "&amp;INDEX(Tarefas[Tarefa],_xlfn.AGGREGATE(15,6,(ROW(Tarefas[ID])-ROW(INDEX(Tarefas[ID],1))+1)/(Tarefas[Status]=E$4),ROWS(E$6:E8)))&amp;CHAR(10)&amp;INDEX(Tarefas[Prioridade],_xlfn.AGGREGATE(15,6,(ROW(Tarefas[ID])-ROW(INDEX(Tarefas[ID],1))+1)/(Tarefas[Status]=E$4),ROWS(E$6:E8)))&amp;" · "&amp;INDEX(Tarefas[Responsável],_xlfn.AGGREGATE(15,6,(ROW(Tarefas[ID])-ROW(INDEX(Tarefas[ID],1))+1)/(Tarefas[Status]=E$4),ROWS(E$6:E8)))&amp;CHAR(10)&amp;IF(INDEX(Tarefas[Prazo],_xlfn.AGGREGATE(15,6,(ROW(Tarefas[ID])-ROW(INDEX(Tarefas[ID],1))+1)/(Tarefas[Status]=E$4),ROWS(E$6:E8)))=0,"Sem prazo",TEXT(INDEX(Tarefas[Prazo],_xlfn.AGGREGATE(15,6,(ROW(Tarefas[ID])-ROW(INDEX(Tarefas[ID],1))+1)/(Tarefas[Status]=E$4),ROWS(E$6:E8))),"dd/mm/yyyy")),"")</f>
        <v>T10 | Testar upload de fotos pelo painel do anunciante
Alta · Codex
Sem prazo</v>
      </c>
      <c r="F8" s="18" t="str">
        <f>IFERROR(INDEX(Tarefas[ID],_xlfn.AGGREGATE(15,6,(ROW(Tarefas[ID])-ROW(INDEX(Tarefas[ID],1))+1)/(Tarefas[Status]=F$4),ROWS(F$6:F8)))&amp;" | "&amp;INDEX(Tarefas[Tarefa],_xlfn.AGGREGATE(15,6,(ROW(Tarefas[ID])-ROW(INDEX(Tarefas[ID],1))+1)/(Tarefas[Status]=F$4),ROWS(F$6:F8)))&amp;CHAR(10)&amp;INDEX(Tarefas[Prioridade],_xlfn.AGGREGATE(15,6,(ROW(Tarefas[ID])-ROW(INDEX(Tarefas[ID],1))+1)/(Tarefas[Status]=F$4),ROWS(F$6:F8)))&amp;" · "&amp;INDEX(Tarefas[Responsável],_xlfn.AGGREGATE(15,6,(ROW(Tarefas[ID])-ROW(INDEX(Tarefas[ID],1))+1)/(Tarefas[Status]=F$4),ROWS(F$6:F8)))&amp;CHAR(10)&amp;IF(INDEX(Tarefas[Prazo],_xlfn.AGGREGATE(15,6,(ROW(Tarefas[ID])-ROW(INDEX(Tarefas[ID],1))+1)/(Tarefas[Status]=F$4),ROWS(F$6:F8)))=0,"Sem prazo",TEXT(INDEX(Tarefas[Prazo],_xlfn.AGGREGATE(15,6,(ROW(Tarefas[ID])-ROW(INDEX(Tarefas[ID],1))+1)/(Tarefas[Status]=F$4),ROWS(F$6:F8))),"dd/mm/yyyy")),"")</f>
        <v/>
      </c>
    </row>
    <row r="9" spans="1:6" ht="93.95" customHeight="1" x14ac:dyDescent="0.25">
      <c r="A9" s="19" t="str">
        <f>IFERROR(INDEX(Tarefas[ID],_xlfn.AGGREGATE(15,6,(ROW(Tarefas[ID])-ROW(INDEX(Tarefas[ID],1))+1)/(Tarefas[Status]=A$4),ROWS(A$6:A9)))&amp;" | "&amp;INDEX(Tarefas[Tarefa],_xlfn.AGGREGATE(15,6,(ROW(Tarefas[ID])-ROW(INDEX(Tarefas[ID],1))+1)/(Tarefas[Status]=A$4),ROWS(A$6:A9)))&amp;CHAR(10)&amp;INDEX(Tarefas[Prioridade],_xlfn.AGGREGATE(15,6,(ROW(Tarefas[ID])-ROW(INDEX(Tarefas[ID],1))+1)/(Tarefas[Status]=A$4),ROWS(A$6:A9)))&amp;" · "&amp;INDEX(Tarefas[Responsável],_xlfn.AGGREGATE(15,6,(ROW(Tarefas[ID])-ROW(INDEX(Tarefas[ID],1))+1)/(Tarefas[Status]=A$4),ROWS(A$6:A9)))&amp;CHAR(10)&amp;IF(INDEX(Tarefas[Prazo],_xlfn.AGGREGATE(15,6,(ROW(Tarefas[ID])-ROW(INDEX(Tarefas[ID],1))+1)/(Tarefas[Status]=A$4),ROWS(A$6:A9)))=0,"Sem prazo",TEXT(INDEX(Tarefas[Prazo],_xlfn.AGGREGATE(15,6,(ROW(Tarefas[ID])-ROW(INDEX(Tarefas[ID],1))+1)/(Tarefas[Status]=A$4),ROWS(A$6:A9))),"dd/mm/yyyy")),"")</f>
        <v>T27 | Formalizar acessos e responsáveis pela operação
Alta · Responsável do projeto
Sem prazo</v>
      </c>
      <c r="B9" s="19" t="str">
        <f>IFERROR(INDEX(Tarefas[ID],_xlfn.AGGREGATE(15,6,(ROW(Tarefas[ID])-ROW(INDEX(Tarefas[ID],1))+1)/(Tarefas[Status]=B$4),ROWS(B$6:B9)))&amp;" | "&amp;INDEX(Tarefas[Tarefa],_xlfn.AGGREGATE(15,6,(ROW(Tarefas[ID])-ROW(INDEX(Tarefas[ID],1))+1)/(Tarefas[Status]=B$4),ROWS(B$6:B9)))&amp;CHAR(10)&amp;INDEX(Tarefas[Prioridade],_xlfn.AGGREGATE(15,6,(ROW(Tarefas[ID])-ROW(INDEX(Tarefas[ID],1))+1)/(Tarefas[Status]=B$4),ROWS(B$6:B9)))&amp;" · "&amp;INDEX(Tarefas[Responsável],_xlfn.AGGREGATE(15,6,(ROW(Tarefas[ID])-ROW(INDEX(Tarefas[ID],1))+1)/(Tarefas[Status]=B$4),ROWS(B$6:B9)))&amp;CHAR(10)&amp;IF(INDEX(Tarefas[Prazo],_xlfn.AGGREGATE(15,6,(ROW(Tarefas[ID])-ROW(INDEX(Tarefas[ID],1))+1)/(Tarefas[Status]=B$4),ROWS(B$6:B9)))=0,"Sem prazo",TEXT(INDEX(Tarefas[Prazo],_xlfn.AGGREGATE(15,6,(ROW(Tarefas[ID])-ROW(INDEX(Tarefas[ID],1))+1)/(Tarefas[Status]=B$4),ROWS(B$6:B9))),"dd/mm/yyyy")),"")</f>
        <v/>
      </c>
      <c r="C9" s="19" t="str">
        <f>IFERROR(INDEX(Tarefas[ID],_xlfn.AGGREGATE(15,6,(ROW(Tarefas[ID])-ROW(INDEX(Tarefas[ID],1))+1)/(Tarefas[Status]=C$4),ROWS(C$6:C9)))&amp;" | "&amp;INDEX(Tarefas[Tarefa],_xlfn.AGGREGATE(15,6,(ROW(Tarefas[ID])-ROW(INDEX(Tarefas[ID],1))+1)/(Tarefas[Status]=C$4),ROWS(C$6:C9)))&amp;CHAR(10)&amp;INDEX(Tarefas[Prioridade],_xlfn.AGGREGATE(15,6,(ROW(Tarefas[ID])-ROW(INDEX(Tarefas[ID],1))+1)/(Tarefas[Status]=C$4),ROWS(C$6:C9)))&amp;" · "&amp;INDEX(Tarefas[Responsável],_xlfn.AGGREGATE(15,6,(ROW(Tarefas[ID])-ROW(INDEX(Tarefas[ID],1))+1)/(Tarefas[Status]=C$4),ROWS(C$6:C9)))&amp;CHAR(10)&amp;IF(INDEX(Tarefas[Prazo],_xlfn.AGGREGATE(15,6,(ROW(Tarefas[ID])-ROW(INDEX(Tarefas[ID],1))+1)/(Tarefas[Status]=C$4),ROWS(C$6:C9)))=0,"Sem prazo",TEXT(INDEX(Tarefas[Prazo],_xlfn.AGGREGATE(15,6,(ROW(Tarefas[ID])-ROW(INDEX(Tarefas[ID],1))+1)/(Tarefas[Status]=C$4),ROWS(C$6:C9))),"dd/mm/yyyy")),"")</f>
        <v>T09 | Homologar recuperação de senha por e-mail
Alta · QA / responsável do projeto
Sem prazo</v>
      </c>
      <c r="D9" s="19" t="str">
        <f>IFERROR(INDEX(Tarefas[ID],_xlfn.AGGREGATE(15,6,(ROW(Tarefas[ID])-ROW(INDEX(Tarefas[ID],1))+1)/(Tarefas[Status]=D$4),ROWS(D$6:D9)))&amp;" | "&amp;INDEX(Tarefas[Tarefa],_xlfn.AGGREGATE(15,6,(ROW(Tarefas[ID])-ROW(INDEX(Tarefas[ID],1))+1)/(Tarefas[Status]=D$4),ROWS(D$6:D9)))&amp;CHAR(10)&amp;INDEX(Tarefas[Prioridade],_xlfn.AGGREGATE(15,6,(ROW(Tarefas[ID])-ROW(INDEX(Tarefas[ID],1))+1)/(Tarefas[Status]=D$4),ROWS(D$6:D9)))&amp;" · "&amp;INDEX(Tarefas[Responsável],_xlfn.AGGREGATE(15,6,(ROW(Tarefas[ID])-ROW(INDEX(Tarefas[ID],1))+1)/(Tarefas[Status]=D$4),ROWS(D$6:D9)))&amp;CHAR(10)&amp;IF(INDEX(Tarefas[Prazo],_xlfn.AGGREGATE(15,6,(ROW(Tarefas[ID])-ROW(INDEX(Tarefas[ID],1))+1)/(Tarefas[Status]=D$4),ROWS(D$6:D9)))=0,"Sem prazo",TEXT(INDEX(Tarefas[Prazo],_xlfn.AGGREGATE(15,6,(ROW(Tarefas[ID])-ROW(INDEX(Tarefas[ID],1))+1)/(Tarefas[Status]=D$4),ROWS(D$6:D9))),"dd/mm/yyyy")),"")</f>
        <v>T11 | Homologar todos os benefícios dos planos
Alta · QA / responsável do projeto
Sem prazo</v>
      </c>
      <c r="E9" s="19" t="str">
        <f>IFERROR(INDEX(Tarefas[ID],_xlfn.AGGREGATE(15,6,(ROW(Tarefas[ID])-ROW(INDEX(Tarefas[ID],1))+1)/(Tarefas[Status]=E$4),ROWS(E$6:E9)))&amp;" | "&amp;INDEX(Tarefas[Tarefa],_xlfn.AGGREGATE(15,6,(ROW(Tarefas[ID])-ROW(INDEX(Tarefas[ID],1))+1)/(Tarefas[Status]=E$4),ROWS(E$6:E9)))&amp;CHAR(10)&amp;INDEX(Tarefas[Prioridade],_xlfn.AGGREGATE(15,6,(ROW(Tarefas[ID])-ROW(INDEX(Tarefas[ID],1))+1)/(Tarefas[Status]=E$4),ROWS(E$6:E9)))&amp;" · "&amp;INDEX(Tarefas[Responsável],_xlfn.AGGREGATE(15,6,(ROW(Tarefas[ID])-ROW(INDEX(Tarefas[ID],1))+1)/(Tarefas[Status]=E$4),ROWS(E$6:E9)))&amp;CHAR(10)&amp;IF(INDEX(Tarefas[Prazo],_xlfn.AGGREGATE(15,6,(ROW(Tarefas[ID])-ROW(INDEX(Tarefas[ID],1))+1)/(Tarefas[Status]=E$4),ROWS(E$6:E9)))=0,"Sem prazo",TEXT(INDEX(Tarefas[Prazo],_xlfn.AGGREGATE(15,6,(ROW(Tarefas[ID])-ROW(INDEX(Tarefas[ID],1))+1)/(Tarefas[Status]=E$4),ROWS(E$6:E9))),"dd/mm/yyyy")),"")</f>
        <v>T12 | Homologar agendamento e pausa de anúncios
Alta · Codex
Sem prazo</v>
      </c>
      <c r="F9" s="19" t="str">
        <f>IFERROR(INDEX(Tarefas[ID],_xlfn.AGGREGATE(15,6,(ROW(Tarefas[ID])-ROW(INDEX(Tarefas[ID],1))+1)/(Tarefas[Status]=F$4),ROWS(F$6:F9)))&amp;" | "&amp;INDEX(Tarefas[Tarefa],_xlfn.AGGREGATE(15,6,(ROW(Tarefas[ID])-ROW(INDEX(Tarefas[ID],1))+1)/(Tarefas[Status]=F$4),ROWS(F$6:F9)))&amp;CHAR(10)&amp;INDEX(Tarefas[Prioridade],_xlfn.AGGREGATE(15,6,(ROW(Tarefas[ID])-ROW(INDEX(Tarefas[ID],1))+1)/(Tarefas[Status]=F$4),ROWS(F$6:F9)))&amp;" · "&amp;INDEX(Tarefas[Responsável],_xlfn.AGGREGATE(15,6,(ROW(Tarefas[ID])-ROW(INDEX(Tarefas[ID],1))+1)/(Tarefas[Status]=F$4),ROWS(F$6:F9)))&amp;CHAR(10)&amp;IF(INDEX(Tarefas[Prazo],_xlfn.AGGREGATE(15,6,(ROW(Tarefas[ID])-ROW(INDEX(Tarefas[ID],1))+1)/(Tarefas[Status]=F$4),ROWS(F$6:F9)))=0,"Sem prazo",TEXT(INDEX(Tarefas[Prazo],_xlfn.AGGREGATE(15,6,(ROW(Tarefas[ID])-ROW(INDEX(Tarefas[ID],1))+1)/(Tarefas[Status]=F$4),ROWS(F$6:F9))),"dd/mm/yyyy")),"")</f>
        <v/>
      </c>
    </row>
    <row r="10" spans="1:6" ht="93.95" customHeight="1" x14ac:dyDescent="0.25">
      <c r="A10" s="18" t="str">
        <f>IFERROR(INDEX(Tarefas[ID],_xlfn.AGGREGATE(15,6,(ROW(Tarefas[ID])-ROW(INDEX(Tarefas[ID],1))+1)/(Tarefas[Status]=A$4),ROWS(A$6:A10)))&amp;" | "&amp;INDEX(Tarefas[Tarefa],_xlfn.AGGREGATE(15,6,(ROW(Tarefas[ID])-ROW(INDEX(Tarefas[ID],1))+1)/(Tarefas[Status]=A$4),ROWS(A$6:A10)))&amp;CHAR(10)&amp;INDEX(Tarefas[Prioridade],_xlfn.AGGREGATE(15,6,(ROW(Tarefas[ID])-ROW(INDEX(Tarefas[ID],1))+1)/(Tarefas[Status]=A$4),ROWS(A$6:A10)))&amp;" · "&amp;INDEX(Tarefas[Responsável],_xlfn.AGGREGATE(15,6,(ROW(Tarefas[ID])-ROW(INDEX(Tarefas[ID],1))+1)/(Tarefas[Status]=A$4),ROWS(A$6:A10)))&amp;CHAR(10)&amp;IF(INDEX(Tarefas[Prazo],_xlfn.AGGREGATE(15,6,(ROW(Tarefas[ID])-ROW(INDEX(Tarefas[ID],1))+1)/(Tarefas[Status]=A$4),ROWS(A$6:A10)))=0,"Sem prazo",TEXT(INDEX(Tarefas[Prazo],_xlfn.AGGREGATE(15,6,(ROW(Tarefas[ID])-ROW(INDEX(Tarefas[ID],1))+1)/(Tarefas[Status]=A$4),ROWS(A$6:A10))),"dd/mm/yyyy")),"")</f>
        <v>T29 | Planejar SEO e prévias de compartilhamento
Média · Desenvolvimento
Sem prazo</v>
      </c>
      <c r="B10" s="18" t="str">
        <f>IFERROR(INDEX(Tarefas[ID],_xlfn.AGGREGATE(15,6,(ROW(Tarefas[ID])-ROW(INDEX(Tarefas[ID],1))+1)/(Tarefas[Status]=B$4),ROWS(B$6:B10)))&amp;" | "&amp;INDEX(Tarefas[Tarefa],_xlfn.AGGREGATE(15,6,(ROW(Tarefas[ID])-ROW(INDEX(Tarefas[ID],1))+1)/(Tarefas[Status]=B$4),ROWS(B$6:B10)))&amp;CHAR(10)&amp;INDEX(Tarefas[Prioridade],_xlfn.AGGREGATE(15,6,(ROW(Tarefas[ID])-ROW(INDEX(Tarefas[ID],1))+1)/(Tarefas[Status]=B$4),ROWS(B$6:B10)))&amp;" · "&amp;INDEX(Tarefas[Responsável],_xlfn.AGGREGATE(15,6,(ROW(Tarefas[ID])-ROW(INDEX(Tarefas[ID],1))+1)/(Tarefas[Status]=B$4),ROWS(B$6:B10)))&amp;CHAR(10)&amp;IF(INDEX(Tarefas[Prazo],_xlfn.AGGREGATE(15,6,(ROW(Tarefas[ID])-ROW(INDEX(Tarefas[ID],1))+1)/(Tarefas[Status]=B$4),ROWS(B$6:B10)))=0,"Sem prazo",TEXT(INDEX(Tarefas[Prazo],_xlfn.AGGREGATE(15,6,(ROW(Tarefas[ID])-ROW(INDEX(Tarefas[ID],1))+1)/(Tarefas[Status]=B$4),ROWS(B$6:B10))),"dd/mm/yyyy")),"")</f>
        <v/>
      </c>
      <c r="C10" s="18" t="str">
        <f>IFERROR(INDEX(Tarefas[ID],_xlfn.AGGREGATE(15,6,(ROW(Tarefas[ID])-ROW(INDEX(Tarefas[ID],1))+1)/(Tarefas[Status]=C$4),ROWS(C$6:C10)))&amp;" | "&amp;INDEX(Tarefas[Tarefa],_xlfn.AGGREGATE(15,6,(ROW(Tarefas[ID])-ROW(INDEX(Tarefas[ID],1))+1)/(Tarefas[Status]=C$4),ROWS(C$6:C10)))&amp;CHAR(10)&amp;INDEX(Tarefas[Prioridade],_xlfn.AGGREGATE(15,6,(ROW(Tarefas[ID])-ROW(INDEX(Tarefas[ID],1))+1)/(Tarefas[Status]=C$4),ROWS(C$6:C10)))&amp;" · "&amp;INDEX(Tarefas[Responsável],_xlfn.AGGREGATE(15,6,(ROW(Tarefas[ID])-ROW(INDEX(Tarefas[ID],1))+1)/(Tarefas[Status]=C$4),ROWS(C$6:C10)))&amp;CHAR(10)&amp;IF(INDEX(Tarefas[Prazo],_xlfn.AGGREGATE(15,6,(ROW(Tarefas[ID])-ROW(INDEX(Tarefas[ID],1))+1)/(Tarefas[Status]=C$4),ROWS(C$6:C10)))=0,"Sem prazo",TEXT(INDEX(Tarefas[Prazo],_xlfn.AGGREGATE(15,6,(ROW(Tarefas[ID])-ROW(INDEX(Tarefas[ID],1))+1)/(Tarefas[Status]=C$4),ROWS(C$6:C10))),"dd/mm/yyyy")),"")</f>
        <v>T15 | Comprovar notificações e push em dispositivo
Média · QA / responsável do projeto
Sem prazo</v>
      </c>
      <c r="D10" s="18" t="str">
        <f>IFERROR(INDEX(Tarefas[ID],_xlfn.AGGREGATE(15,6,(ROW(Tarefas[ID])-ROW(INDEX(Tarefas[ID],1))+1)/(Tarefas[Status]=D$4),ROWS(D$6:D10)))&amp;" | "&amp;INDEX(Tarefas[Tarefa],_xlfn.AGGREGATE(15,6,(ROW(Tarefas[ID])-ROW(INDEX(Tarefas[ID],1))+1)/(Tarefas[Status]=D$4),ROWS(D$6:D10)))&amp;CHAR(10)&amp;INDEX(Tarefas[Prioridade],_xlfn.AGGREGATE(15,6,(ROW(Tarefas[ID])-ROW(INDEX(Tarefas[ID],1))+1)/(Tarefas[Status]=D$4),ROWS(D$6:D10)))&amp;" · "&amp;INDEX(Tarefas[Responsável],_xlfn.AGGREGATE(15,6,(ROW(Tarefas[ID])-ROW(INDEX(Tarefas[ID],1))+1)/(Tarefas[Status]=D$4),ROWS(D$6:D10)))&amp;CHAR(10)&amp;IF(INDEX(Tarefas[Prazo],_xlfn.AGGREGATE(15,6,(ROW(Tarefas[ID])-ROW(INDEX(Tarefas[ID],1))+1)/(Tarefas[Status]=D$4),ROWS(D$6:D10)))=0,"Sem prazo",TEXT(INDEX(Tarefas[Prazo],_xlfn.AGGREGATE(15,6,(ROW(Tarefas[ID])-ROW(INDEX(Tarefas[ID],1))+1)/(Tarefas[Status]=D$4),ROWS(D$6:D10))),"dd/mm/yyyy")),"")</f>
        <v>T13 | Preparar operação da cobrança recorrente
Alta · Desenvolvimento
Sem prazo</v>
      </c>
      <c r="E10" s="18" t="str">
        <f>IFERROR(INDEX(Tarefas[ID],_xlfn.AGGREGATE(15,6,(ROW(Tarefas[ID])-ROW(INDEX(Tarefas[ID],1))+1)/(Tarefas[Status]=E$4),ROWS(E$6:E10)))&amp;" | "&amp;INDEX(Tarefas[Tarefa],_xlfn.AGGREGATE(15,6,(ROW(Tarefas[ID])-ROW(INDEX(Tarefas[ID],1))+1)/(Tarefas[Status]=E$4),ROWS(E$6:E10)))&amp;CHAR(10)&amp;INDEX(Tarefas[Prioridade],_xlfn.AGGREGATE(15,6,(ROW(Tarefas[ID])-ROW(INDEX(Tarefas[ID],1))+1)/(Tarefas[Status]=E$4),ROWS(E$6:E10)))&amp;" · "&amp;INDEX(Tarefas[Responsável],_xlfn.AGGREGATE(15,6,(ROW(Tarefas[ID])-ROW(INDEX(Tarefas[ID],1))+1)/(Tarefas[Status]=E$4),ROWS(E$6:E10)))&amp;CHAR(10)&amp;IF(INDEX(Tarefas[Prazo],_xlfn.AGGREGATE(15,6,(ROW(Tarefas[ID])-ROW(INDEX(Tarefas[ID],1))+1)/(Tarefas[Status]=E$4),ROWS(E$6:E10)))=0,"Sem prazo",TEXT(INDEX(Tarefas[Prazo],_xlfn.AGGREGATE(15,6,(ROW(Tarefas[ID])-ROW(INDEX(Tarefas[ID],1))+1)/(Tarefas[Status]=E$4),ROWS(E$6:E10))),"dd/mm/yyyy")),"")</f>
        <v>T21 | Revisar alterações e preparar versão de entrega
Alta · Codex
Sem prazo</v>
      </c>
      <c r="F10" s="18" t="str">
        <f>IFERROR(INDEX(Tarefas[ID],_xlfn.AGGREGATE(15,6,(ROW(Tarefas[ID])-ROW(INDEX(Tarefas[ID],1))+1)/(Tarefas[Status]=F$4),ROWS(F$6:F10)))&amp;" | "&amp;INDEX(Tarefas[Tarefa],_xlfn.AGGREGATE(15,6,(ROW(Tarefas[ID])-ROW(INDEX(Tarefas[ID],1))+1)/(Tarefas[Status]=F$4),ROWS(F$6:F10)))&amp;CHAR(10)&amp;INDEX(Tarefas[Prioridade],_xlfn.AGGREGATE(15,6,(ROW(Tarefas[ID])-ROW(INDEX(Tarefas[ID],1))+1)/(Tarefas[Status]=F$4),ROWS(F$6:F10)))&amp;" · "&amp;INDEX(Tarefas[Responsável],_xlfn.AGGREGATE(15,6,(ROW(Tarefas[ID])-ROW(INDEX(Tarefas[ID],1))+1)/(Tarefas[Status]=F$4),ROWS(F$6:F10)))&amp;CHAR(10)&amp;IF(INDEX(Tarefas[Prazo],_xlfn.AGGREGATE(15,6,(ROW(Tarefas[ID])-ROW(INDEX(Tarefas[ID],1))+1)/(Tarefas[Status]=F$4),ROWS(F$6:F10)))=0,"Sem prazo",TEXT(INDEX(Tarefas[Prazo],_xlfn.AGGREGATE(15,6,(ROW(Tarefas[ID])-ROW(INDEX(Tarefas[ID],1))+1)/(Tarefas[Status]=F$4),ROWS(F$6:F10))),"dd/mm/yyyy")),"")</f>
        <v/>
      </c>
    </row>
    <row r="11" spans="1:6" ht="93.95" customHeight="1" x14ac:dyDescent="0.25">
      <c r="A11" s="19" t="str">
        <f>IFERROR(INDEX(Tarefas[ID],_xlfn.AGGREGATE(15,6,(ROW(Tarefas[ID])-ROW(INDEX(Tarefas[ID],1))+1)/(Tarefas[Status]=A$4),ROWS(A$6:A11)))&amp;" | "&amp;INDEX(Tarefas[Tarefa],_xlfn.AGGREGATE(15,6,(ROW(Tarefas[ID])-ROW(INDEX(Tarefas[ID],1))+1)/(Tarefas[Status]=A$4),ROWS(A$6:A11)))&amp;CHAR(10)&amp;INDEX(Tarefas[Prioridade],_xlfn.AGGREGATE(15,6,(ROW(Tarefas[ID])-ROW(INDEX(Tarefas[ID],1))+1)/(Tarefas[Status]=A$4),ROWS(A$6:A11)))&amp;" · "&amp;INDEX(Tarefas[Responsável],_xlfn.AGGREGATE(15,6,(ROW(Tarefas[ID])-ROW(INDEX(Tarefas[ID],1))+1)/(Tarefas[Status]=A$4),ROWS(A$6:A11)))&amp;CHAR(10)&amp;IF(INDEX(Tarefas[Prazo],_xlfn.AGGREGATE(15,6,(ROW(Tarefas[ID])-ROW(INDEX(Tarefas[ID],1))+1)/(Tarefas[Status]=A$4),ROWS(A$6:A11)))=0,"Sem prazo",TEXT(INDEX(Tarefas[Prazo],_xlfn.AGGREGATE(15,6,(ROW(Tarefas[ID])-ROW(INDEX(Tarefas[ID],1))+1)/(Tarefas[Status]=A$4),ROWS(A$6:A11))),"dd/mm/yyyy")),"")</f>
        <v>T30 | Avaliar carga, paginação e crescimento
Média · Desenvolvimento
Sem prazo</v>
      </c>
      <c r="B11" s="19" t="str">
        <f>IFERROR(INDEX(Tarefas[ID],_xlfn.AGGREGATE(15,6,(ROW(Tarefas[ID])-ROW(INDEX(Tarefas[ID],1))+1)/(Tarefas[Status]=B$4),ROWS(B$6:B11)))&amp;" | "&amp;INDEX(Tarefas[Tarefa],_xlfn.AGGREGATE(15,6,(ROW(Tarefas[ID])-ROW(INDEX(Tarefas[ID],1))+1)/(Tarefas[Status]=B$4),ROWS(B$6:B11)))&amp;CHAR(10)&amp;INDEX(Tarefas[Prioridade],_xlfn.AGGREGATE(15,6,(ROW(Tarefas[ID])-ROW(INDEX(Tarefas[ID],1))+1)/(Tarefas[Status]=B$4),ROWS(B$6:B11)))&amp;" · "&amp;INDEX(Tarefas[Responsável],_xlfn.AGGREGATE(15,6,(ROW(Tarefas[ID])-ROW(INDEX(Tarefas[ID],1))+1)/(Tarefas[Status]=B$4),ROWS(B$6:B11)))&amp;CHAR(10)&amp;IF(INDEX(Tarefas[Prazo],_xlfn.AGGREGATE(15,6,(ROW(Tarefas[ID])-ROW(INDEX(Tarefas[ID],1))+1)/(Tarefas[Status]=B$4),ROWS(B$6:B11)))=0,"Sem prazo",TEXT(INDEX(Tarefas[Prazo],_xlfn.AGGREGATE(15,6,(ROW(Tarefas[ID])-ROW(INDEX(Tarefas[ID],1))+1)/(Tarefas[Status]=B$4),ROWS(B$6:B11))),"dd/mm/yyyy")),"")</f>
        <v/>
      </c>
      <c r="C11" s="19" t="str">
        <f>IFERROR(INDEX(Tarefas[ID],_xlfn.AGGREGATE(15,6,(ROW(Tarefas[ID])-ROW(INDEX(Tarefas[ID],1))+1)/(Tarefas[Status]=C$4),ROWS(C$6:C11)))&amp;" | "&amp;INDEX(Tarefas[Tarefa],_xlfn.AGGREGATE(15,6,(ROW(Tarefas[ID])-ROW(INDEX(Tarefas[ID],1))+1)/(Tarefas[Status]=C$4),ROWS(C$6:C11)))&amp;CHAR(10)&amp;INDEX(Tarefas[Prioridade],_xlfn.AGGREGATE(15,6,(ROW(Tarefas[ID])-ROW(INDEX(Tarefas[ID],1))+1)/(Tarefas[Status]=C$4),ROWS(C$6:C11)))&amp;" · "&amp;INDEX(Tarefas[Responsável],_xlfn.AGGREGATE(15,6,(ROW(Tarefas[ID])-ROW(INDEX(Tarefas[ID],1))+1)/(Tarefas[Status]=C$4),ROWS(C$6:C11)))&amp;CHAR(10)&amp;IF(INDEX(Tarefas[Prazo],_xlfn.AGGREGATE(15,6,(ROW(Tarefas[ID])-ROW(INDEX(Tarefas[ID],1))+1)/(Tarefas[Status]=C$4),ROWS(C$6:C11)))=0,"Sem prazo",TEXT(INDEX(Tarefas[Prazo],_xlfn.AGGREGATE(15,6,(ROW(Tarefas[ID])-ROW(INDEX(Tarefas[ID],1))+1)/(Tarefas[Status]=C$4),ROWS(C$6:C11))),"dd/mm/yyyy")),"")</f>
        <v>T28 | Obter aceite final do cliente
Alta · Responsável do projeto
Sem prazo</v>
      </c>
      <c r="D11" s="19" t="str">
        <f>IFERROR(INDEX(Tarefas[ID],_xlfn.AGGREGATE(15,6,(ROW(Tarefas[ID])-ROW(INDEX(Tarefas[ID],1))+1)/(Tarefas[Status]=D$4),ROWS(D$6:D11)))&amp;" | "&amp;INDEX(Tarefas[Tarefa],_xlfn.AGGREGATE(15,6,(ROW(Tarefas[ID])-ROW(INDEX(Tarefas[ID],1))+1)/(Tarefas[Status]=D$4),ROWS(D$6:D11)))&amp;CHAR(10)&amp;INDEX(Tarefas[Prioridade],_xlfn.AGGREGATE(15,6,(ROW(Tarefas[ID])-ROW(INDEX(Tarefas[ID],1))+1)/(Tarefas[Status]=D$4),ROWS(D$6:D11)))&amp;" · "&amp;INDEX(Tarefas[Responsável],_xlfn.AGGREGATE(15,6,(ROW(Tarefas[ID])-ROW(INDEX(Tarefas[ID],1))+1)/(Tarefas[Status]=D$4),ROWS(D$6:D11)))&amp;CHAR(10)&amp;IF(INDEX(Tarefas[Prazo],_xlfn.AGGREGATE(15,6,(ROW(Tarefas[ID])-ROW(INDEX(Tarefas[ID],1))+1)/(Tarefas[Status]=D$4),ROWS(D$6:D11)))=0,"Sem prazo",TEXT(INDEX(Tarefas[Prazo],_xlfn.AGGREGATE(15,6,(ROW(Tarefas[ID])-ROW(INDEX(Tarefas[ID],1))+1)/(Tarefas[Status]=D$4),ROWS(D$6:D11))),"dd/mm/yyyy")),"")</f>
        <v>T14 | Comprovar marketing nas plataformas externas
Média · Marketing / responsável do projeto
Sem prazo</v>
      </c>
      <c r="E11" s="19" t="str">
        <f>IFERROR(INDEX(Tarefas[ID],_xlfn.AGGREGATE(15,6,(ROW(Tarefas[ID])-ROW(INDEX(Tarefas[ID],1))+1)/(Tarefas[Status]=E$4),ROWS(E$6:E11)))&amp;" | "&amp;INDEX(Tarefas[Tarefa],_xlfn.AGGREGATE(15,6,(ROW(Tarefas[ID])-ROW(INDEX(Tarefas[ID],1))+1)/(Tarefas[Status]=E$4),ROWS(E$6:E11)))&amp;CHAR(10)&amp;INDEX(Tarefas[Prioridade],_xlfn.AGGREGATE(15,6,(ROW(Tarefas[ID])-ROW(INDEX(Tarefas[ID],1))+1)/(Tarefas[Status]=E$4),ROWS(E$6:E11)))&amp;" · "&amp;INDEX(Tarefas[Responsável],_xlfn.AGGREGATE(15,6,(ROW(Tarefas[ID])-ROW(INDEX(Tarefas[ID],1))+1)/(Tarefas[Status]=E$4),ROWS(E$6:E11)))&amp;CHAR(10)&amp;IF(INDEX(Tarefas[Prazo],_xlfn.AGGREGATE(15,6,(ROW(Tarefas[ID])-ROW(INDEX(Tarefas[ID],1))+1)/(Tarefas[Status]=E$4),ROWS(E$6:E11)))=0,"Sem prazo",TEXT(INDEX(Tarefas[Prazo],_xlfn.AGGREGATE(15,6,(ROW(Tarefas[ID])-ROW(INDEX(Tarefas[ID],1))+1)/(Tarefas[Status]=E$4),ROWS(E$6:E11))),"dd/mm/yyyy")),"")</f>
        <v>T22 | Validar pacote e CI da versão escolhida
Alta · Codex
Sem prazo</v>
      </c>
      <c r="F11" s="19" t="str">
        <f>IFERROR(INDEX(Tarefas[ID],_xlfn.AGGREGATE(15,6,(ROW(Tarefas[ID])-ROW(INDEX(Tarefas[ID],1))+1)/(Tarefas[Status]=F$4),ROWS(F$6:F11)))&amp;" | "&amp;INDEX(Tarefas[Tarefa],_xlfn.AGGREGATE(15,6,(ROW(Tarefas[ID])-ROW(INDEX(Tarefas[ID],1))+1)/(Tarefas[Status]=F$4),ROWS(F$6:F11)))&amp;CHAR(10)&amp;INDEX(Tarefas[Prioridade],_xlfn.AGGREGATE(15,6,(ROW(Tarefas[ID])-ROW(INDEX(Tarefas[ID],1))+1)/(Tarefas[Status]=F$4),ROWS(F$6:F11)))&amp;" · "&amp;INDEX(Tarefas[Responsável],_xlfn.AGGREGATE(15,6,(ROW(Tarefas[ID])-ROW(INDEX(Tarefas[ID],1))+1)/(Tarefas[Status]=F$4),ROWS(F$6:F11)))&amp;CHAR(10)&amp;IF(INDEX(Tarefas[Prazo],_xlfn.AGGREGATE(15,6,(ROW(Tarefas[ID])-ROW(INDEX(Tarefas[ID],1))+1)/(Tarefas[Status]=F$4),ROWS(F$6:F11)))=0,"Sem prazo",TEXT(INDEX(Tarefas[Prazo],_xlfn.AGGREGATE(15,6,(ROW(Tarefas[ID])-ROW(INDEX(Tarefas[ID],1))+1)/(Tarefas[Status]=F$4),ROWS(F$6:F11))),"dd/mm/yyyy")),"")</f>
        <v/>
      </c>
    </row>
    <row r="12" spans="1:6" ht="93.95" customHeight="1" x14ac:dyDescent="0.25">
      <c r="A12" s="18" t="str">
        <f>IFERROR(INDEX(Tarefas[ID],_xlfn.AGGREGATE(15,6,(ROW(Tarefas[ID])-ROW(INDEX(Tarefas[ID],1))+1)/(Tarefas[Status]=A$4),ROWS(A$6:A12)))&amp;" | "&amp;INDEX(Tarefas[Tarefa],_xlfn.AGGREGATE(15,6,(ROW(Tarefas[ID])-ROW(INDEX(Tarefas[ID],1))+1)/(Tarefas[Status]=A$4),ROWS(A$6:A12)))&amp;CHAR(10)&amp;INDEX(Tarefas[Prioridade],_xlfn.AGGREGATE(15,6,(ROW(Tarefas[ID])-ROW(INDEX(Tarefas[ID],1))+1)/(Tarefas[Status]=A$4),ROWS(A$6:A12)))&amp;" · "&amp;INDEX(Tarefas[Responsável],_xlfn.AGGREGATE(15,6,(ROW(Tarefas[ID])-ROW(INDEX(Tarefas[ID],1))+1)/(Tarefas[Status]=A$4),ROWS(A$6:A12)))&amp;CHAR(10)&amp;IF(INDEX(Tarefas[Prazo],_xlfn.AGGREGATE(15,6,(ROW(Tarefas[ID])-ROW(INDEX(Tarefas[ID],1))+1)/(Tarefas[Status]=A$4),ROWS(A$6:A12)))=0,"Sem prazo",TEXT(INDEX(Tarefas[Prazo],_xlfn.AGGREGATE(15,6,(ROW(Tarefas[ID])-ROW(INDEX(Tarefas[ID],1))+1)/(Tarefas[Status]=A$4),ROWS(A$6:A12))),"dd/mm/yyyy")),"")</f>
        <v/>
      </c>
      <c r="B12" s="18" t="str">
        <f>IFERROR(INDEX(Tarefas[ID],_xlfn.AGGREGATE(15,6,(ROW(Tarefas[ID])-ROW(INDEX(Tarefas[ID],1))+1)/(Tarefas[Status]=B$4),ROWS(B$6:B12)))&amp;" | "&amp;INDEX(Tarefas[Tarefa],_xlfn.AGGREGATE(15,6,(ROW(Tarefas[ID])-ROW(INDEX(Tarefas[ID],1))+1)/(Tarefas[Status]=B$4),ROWS(B$6:B12)))&amp;CHAR(10)&amp;INDEX(Tarefas[Prioridade],_xlfn.AGGREGATE(15,6,(ROW(Tarefas[ID])-ROW(INDEX(Tarefas[ID],1))+1)/(Tarefas[Status]=B$4),ROWS(B$6:B12)))&amp;" · "&amp;INDEX(Tarefas[Responsável],_xlfn.AGGREGATE(15,6,(ROW(Tarefas[ID])-ROW(INDEX(Tarefas[ID],1))+1)/(Tarefas[Status]=B$4),ROWS(B$6:B12)))&amp;CHAR(10)&amp;IF(INDEX(Tarefas[Prazo],_xlfn.AGGREGATE(15,6,(ROW(Tarefas[ID])-ROW(INDEX(Tarefas[ID],1))+1)/(Tarefas[Status]=B$4),ROWS(B$6:B12)))=0,"Sem prazo",TEXT(INDEX(Tarefas[Prazo],_xlfn.AGGREGATE(15,6,(ROW(Tarefas[ID])-ROW(INDEX(Tarefas[ID],1))+1)/(Tarefas[Status]=B$4),ROWS(B$6:B12))),"dd/mm/yyyy")),"")</f>
        <v/>
      </c>
      <c r="C12" s="18" t="str">
        <f>IFERROR(INDEX(Tarefas[ID],_xlfn.AGGREGATE(15,6,(ROW(Tarefas[ID])-ROW(INDEX(Tarefas[ID],1))+1)/(Tarefas[Status]=C$4),ROWS(C$6:C12)))&amp;" | "&amp;INDEX(Tarefas[Tarefa],_xlfn.AGGREGATE(15,6,(ROW(Tarefas[ID])-ROW(INDEX(Tarefas[ID],1))+1)/(Tarefas[Status]=C$4),ROWS(C$6:C12)))&amp;CHAR(10)&amp;INDEX(Tarefas[Prioridade],_xlfn.AGGREGATE(15,6,(ROW(Tarefas[ID])-ROW(INDEX(Tarefas[ID],1))+1)/(Tarefas[Status]=C$4),ROWS(C$6:C12)))&amp;" · "&amp;INDEX(Tarefas[Responsável],_xlfn.AGGREGATE(15,6,(ROW(Tarefas[ID])-ROW(INDEX(Tarefas[ID],1))+1)/(Tarefas[Status]=C$4),ROWS(C$6:C12)))&amp;CHAR(10)&amp;IF(INDEX(Tarefas[Prazo],_xlfn.AGGREGATE(15,6,(ROW(Tarefas[ID])-ROW(INDEX(Tarefas[ID],1))+1)/(Tarefas[Status]=C$4),ROWS(C$6:C12)))=0,"Sem prazo",TEXT(INDEX(Tarefas[Prazo],_xlfn.AGGREGATE(15,6,(ROW(Tarefas[ID])-ROW(INDEX(Tarefas[ID],1))+1)/(Tarefas[Status]=C$4),ROWS(C$6:C12))),"dd/mm/yyyy")),"")</f>
        <v/>
      </c>
      <c r="D12" s="18" t="str">
        <f>IFERROR(INDEX(Tarefas[ID],_xlfn.AGGREGATE(15,6,(ROW(Tarefas[ID])-ROW(INDEX(Tarefas[ID],1))+1)/(Tarefas[Status]=D$4),ROWS(D$6:D12)))&amp;" | "&amp;INDEX(Tarefas[Tarefa],_xlfn.AGGREGATE(15,6,(ROW(Tarefas[ID])-ROW(INDEX(Tarefas[ID],1))+1)/(Tarefas[Status]=D$4),ROWS(D$6:D12)))&amp;CHAR(10)&amp;INDEX(Tarefas[Prioridade],_xlfn.AGGREGATE(15,6,(ROW(Tarefas[ID])-ROW(INDEX(Tarefas[ID],1))+1)/(Tarefas[Status]=D$4),ROWS(D$6:D12)))&amp;" · "&amp;INDEX(Tarefas[Responsável],_xlfn.AGGREGATE(15,6,(ROW(Tarefas[ID])-ROW(INDEX(Tarefas[ID],1))+1)/(Tarefas[Status]=D$4),ROWS(D$6:D12)))&amp;CHAR(10)&amp;IF(INDEX(Tarefas[Prazo],_xlfn.AGGREGATE(15,6,(ROW(Tarefas[ID])-ROW(INDEX(Tarefas[ID],1))+1)/(Tarefas[Status]=D$4),ROWS(D$6:D12)))=0,"Sem prazo",TEXT(INDEX(Tarefas[Prazo],_xlfn.AGGREGATE(15,6,(ROW(Tarefas[ID])-ROW(INDEX(Tarefas[ID],1))+1)/(Tarefas[Status]=D$4),ROWS(D$6:D12))),"dd/mm/yyyy")),"")</f>
        <v>T16 | Homologar aplicativo Android
Média · QA / responsável do projeto
Sem prazo</v>
      </c>
      <c r="E12" s="18" t="str">
        <f>IFERROR(INDEX(Tarefas[ID],_xlfn.AGGREGATE(15,6,(ROW(Tarefas[ID])-ROW(INDEX(Tarefas[ID],1))+1)/(Tarefas[Status]=E$4),ROWS(E$6:E12)))&amp;" | "&amp;INDEX(Tarefas[Tarefa],_xlfn.AGGREGATE(15,6,(ROW(Tarefas[ID])-ROW(INDEX(Tarefas[ID],1))+1)/(Tarefas[Status]=E$4),ROWS(E$6:E12)))&amp;CHAR(10)&amp;INDEX(Tarefas[Prioridade],_xlfn.AGGREGATE(15,6,(ROW(Tarefas[ID])-ROW(INDEX(Tarefas[ID],1))+1)/(Tarefas[Status]=E$4),ROWS(E$6:E12)))&amp;" · "&amp;INDEX(Tarefas[Responsável],_xlfn.AGGREGATE(15,6,(ROW(Tarefas[ID])-ROW(INDEX(Tarefas[ID],1))+1)/(Tarefas[Status]=E$4),ROWS(E$6:E12)))&amp;CHAR(10)&amp;IF(INDEX(Tarefas[Prazo],_xlfn.AGGREGATE(15,6,(ROW(Tarefas[ID])-ROW(INDEX(Tarefas[ID],1))+1)/(Tarefas[Status]=E$4),ROWS(E$6:E12)))=0,"Sem prazo",TEXT(INDEX(Tarefas[Prazo],_xlfn.AGGREGATE(15,6,(ROW(Tarefas[ID])-ROW(INDEX(Tarefas[ID],1))+1)/(Tarefas[Status]=E$4),ROWS(E$6:E12))),"dd/mm/yyyy")),"")</f>
        <v>T23 | Preparar backup, janela e reversão do deploy
Alta · Codex
Sem prazo</v>
      </c>
      <c r="F12" s="18" t="str">
        <f>IFERROR(INDEX(Tarefas[ID],_xlfn.AGGREGATE(15,6,(ROW(Tarefas[ID])-ROW(INDEX(Tarefas[ID],1))+1)/(Tarefas[Status]=F$4),ROWS(F$6:F12)))&amp;" | "&amp;INDEX(Tarefas[Tarefa],_xlfn.AGGREGATE(15,6,(ROW(Tarefas[ID])-ROW(INDEX(Tarefas[ID],1))+1)/(Tarefas[Status]=F$4),ROWS(F$6:F12)))&amp;CHAR(10)&amp;INDEX(Tarefas[Prioridade],_xlfn.AGGREGATE(15,6,(ROW(Tarefas[ID])-ROW(INDEX(Tarefas[ID],1))+1)/(Tarefas[Status]=F$4),ROWS(F$6:F12)))&amp;" · "&amp;INDEX(Tarefas[Responsável],_xlfn.AGGREGATE(15,6,(ROW(Tarefas[ID])-ROW(INDEX(Tarefas[ID],1))+1)/(Tarefas[Status]=F$4),ROWS(F$6:F12)))&amp;CHAR(10)&amp;IF(INDEX(Tarefas[Prazo],_xlfn.AGGREGATE(15,6,(ROW(Tarefas[ID])-ROW(INDEX(Tarefas[ID],1))+1)/(Tarefas[Status]=F$4),ROWS(F$6:F12)))=0,"Sem prazo",TEXT(INDEX(Tarefas[Prazo],_xlfn.AGGREGATE(15,6,(ROW(Tarefas[ID])-ROW(INDEX(Tarefas[ID],1))+1)/(Tarefas[Status]=F$4),ROWS(F$6:F12))),"dd/mm/yyyy")),"")</f>
        <v/>
      </c>
    </row>
    <row r="13" spans="1:6" ht="93.95" customHeight="1" x14ac:dyDescent="0.25">
      <c r="A13" s="19" t="str">
        <f>IFERROR(INDEX(Tarefas[ID],_xlfn.AGGREGATE(15,6,(ROW(Tarefas[ID])-ROW(INDEX(Tarefas[ID],1))+1)/(Tarefas[Status]=A$4),ROWS(A$6:A13)))&amp;" | "&amp;INDEX(Tarefas[Tarefa],_xlfn.AGGREGATE(15,6,(ROW(Tarefas[ID])-ROW(INDEX(Tarefas[ID],1))+1)/(Tarefas[Status]=A$4),ROWS(A$6:A13)))&amp;CHAR(10)&amp;INDEX(Tarefas[Prioridade],_xlfn.AGGREGATE(15,6,(ROW(Tarefas[ID])-ROW(INDEX(Tarefas[ID],1))+1)/(Tarefas[Status]=A$4),ROWS(A$6:A13)))&amp;" · "&amp;INDEX(Tarefas[Responsável],_xlfn.AGGREGATE(15,6,(ROW(Tarefas[ID])-ROW(INDEX(Tarefas[ID],1))+1)/(Tarefas[Status]=A$4),ROWS(A$6:A13)))&amp;CHAR(10)&amp;IF(INDEX(Tarefas[Prazo],_xlfn.AGGREGATE(15,6,(ROW(Tarefas[ID])-ROW(INDEX(Tarefas[ID],1))+1)/(Tarefas[Status]=A$4),ROWS(A$6:A13)))=0,"Sem prazo",TEXT(INDEX(Tarefas[Prazo],_xlfn.AGGREGATE(15,6,(ROW(Tarefas[ID])-ROW(INDEX(Tarefas[ID],1))+1)/(Tarefas[Status]=A$4),ROWS(A$6:A13))),"dd/mm/yyyy")),"")</f>
        <v/>
      </c>
      <c r="B13" s="19" t="str">
        <f>IFERROR(INDEX(Tarefas[ID],_xlfn.AGGREGATE(15,6,(ROW(Tarefas[ID])-ROW(INDEX(Tarefas[ID],1))+1)/(Tarefas[Status]=B$4),ROWS(B$6:B13)))&amp;" | "&amp;INDEX(Tarefas[Tarefa],_xlfn.AGGREGATE(15,6,(ROW(Tarefas[ID])-ROW(INDEX(Tarefas[ID],1))+1)/(Tarefas[Status]=B$4),ROWS(B$6:B13)))&amp;CHAR(10)&amp;INDEX(Tarefas[Prioridade],_xlfn.AGGREGATE(15,6,(ROW(Tarefas[ID])-ROW(INDEX(Tarefas[ID],1))+1)/(Tarefas[Status]=B$4),ROWS(B$6:B13)))&amp;" · "&amp;INDEX(Tarefas[Responsável],_xlfn.AGGREGATE(15,6,(ROW(Tarefas[ID])-ROW(INDEX(Tarefas[ID],1))+1)/(Tarefas[Status]=B$4),ROWS(B$6:B13)))&amp;CHAR(10)&amp;IF(INDEX(Tarefas[Prazo],_xlfn.AGGREGATE(15,6,(ROW(Tarefas[ID])-ROW(INDEX(Tarefas[ID],1))+1)/(Tarefas[Status]=B$4),ROWS(B$6:B13)))=0,"Sem prazo",TEXT(INDEX(Tarefas[Prazo],_xlfn.AGGREGATE(15,6,(ROW(Tarefas[ID])-ROW(INDEX(Tarefas[ID],1))+1)/(Tarefas[Status]=B$4),ROWS(B$6:B13))),"dd/mm/yyyy")),"")</f>
        <v/>
      </c>
      <c r="C13" s="19" t="str">
        <f>IFERROR(INDEX(Tarefas[ID],_xlfn.AGGREGATE(15,6,(ROW(Tarefas[ID])-ROW(INDEX(Tarefas[ID],1))+1)/(Tarefas[Status]=C$4),ROWS(C$6:C13)))&amp;" | "&amp;INDEX(Tarefas[Tarefa],_xlfn.AGGREGATE(15,6,(ROW(Tarefas[ID])-ROW(INDEX(Tarefas[ID],1))+1)/(Tarefas[Status]=C$4),ROWS(C$6:C13)))&amp;CHAR(10)&amp;INDEX(Tarefas[Prioridade],_xlfn.AGGREGATE(15,6,(ROW(Tarefas[ID])-ROW(INDEX(Tarefas[ID],1))+1)/(Tarefas[Status]=C$4),ROWS(C$6:C13)))&amp;" · "&amp;INDEX(Tarefas[Responsável],_xlfn.AGGREGATE(15,6,(ROW(Tarefas[ID])-ROW(INDEX(Tarefas[ID],1))+1)/(Tarefas[Status]=C$4),ROWS(C$6:C13)))&amp;CHAR(10)&amp;IF(INDEX(Tarefas[Prazo],_xlfn.AGGREGATE(15,6,(ROW(Tarefas[ID])-ROW(INDEX(Tarefas[ID],1))+1)/(Tarefas[Status]=C$4),ROWS(C$6:C13)))=0,"Sem prazo",TEXT(INDEX(Tarefas[Prazo],_xlfn.AGGREGATE(15,6,(ROW(Tarefas[ID])-ROW(INDEX(Tarefas[ID],1))+1)/(Tarefas[Status]=C$4),ROWS(C$6:C13))),"dd/mm/yyyy")),"")</f>
        <v/>
      </c>
      <c r="D13" s="19" t="str">
        <f>IFERROR(INDEX(Tarefas[ID],_xlfn.AGGREGATE(15,6,(ROW(Tarefas[ID])-ROW(INDEX(Tarefas[ID],1))+1)/(Tarefas[Status]=D$4),ROWS(D$6:D13)))&amp;" | "&amp;INDEX(Tarefas[Tarefa],_xlfn.AGGREGATE(15,6,(ROW(Tarefas[ID])-ROW(INDEX(Tarefas[ID],1))+1)/(Tarefas[Status]=D$4),ROWS(D$6:D13)))&amp;CHAR(10)&amp;INDEX(Tarefas[Prioridade],_xlfn.AGGREGATE(15,6,(ROW(Tarefas[ID])-ROW(INDEX(Tarefas[ID],1))+1)/(Tarefas[Status]=D$4),ROWS(D$6:D13)))&amp;" · "&amp;INDEX(Tarefas[Responsável],_xlfn.AGGREGATE(15,6,(ROW(Tarefas[ID])-ROW(INDEX(Tarefas[ID],1))+1)/(Tarefas[Status]=D$4),ROWS(D$6:D13)))&amp;CHAR(10)&amp;IF(INDEX(Tarefas[Prazo],_xlfn.AGGREGATE(15,6,(ROW(Tarefas[ID])-ROW(INDEX(Tarefas[ID],1))+1)/(Tarefas[Status]=D$4),ROWS(D$6:D13)))=0,"Sem prazo",TEXT(INDEX(Tarefas[Prazo],_xlfn.AGGREGATE(15,6,(ROW(Tarefas[ID])-ROW(INDEX(Tarefas[ID],1))+1)/(Tarefas[Status]=D$4),ROWS(D$6:D13))),"dd/mm/yyyy")),"")</f>
        <v>T25 | Conferir produção depois da publicação
Crítica · QA / responsável do projeto
Sem prazo</v>
      </c>
      <c r="E13" s="19" t="str">
        <f>IFERROR(INDEX(Tarefas[ID],_xlfn.AGGREGATE(15,6,(ROW(Tarefas[ID])-ROW(INDEX(Tarefas[ID],1))+1)/(Tarefas[Status]=E$4),ROWS(E$6:E13)))&amp;" | "&amp;INDEX(Tarefas[Tarefa],_xlfn.AGGREGATE(15,6,(ROW(Tarefas[ID])-ROW(INDEX(Tarefas[ID],1))+1)/(Tarefas[Status]=E$4),ROWS(E$6:E13)))&amp;CHAR(10)&amp;INDEX(Tarefas[Prioridade],_xlfn.AGGREGATE(15,6,(ROW(Tarefas[ID])-ROW(INDEX(Tarefas[ID],1))+1)/(Tarefas[Status]=E$4),ROWS(E$6:E13)))&amp;" · "&amp;INDEX(Tarefas[Responsável],_xlfn.AGGREGATE(15,6,(ROW(Tarefas[ID])-ROW(INDEX(Tarefas[ID],1))+1)/(Tarefas[Status]=E$4),ROWS(E$6:E13)))&amp;CHAR(10)&amp;IF(INDEX(Tarefas[Prazo],_xlfn.AGGREGATE(15,6,(ROW(Tarefas[ID])-ROW(INDEX(Tarefas[ID],1))+1)/(Tarefas[Status]=E$4),ROWS(E$6:E13)))=0,"Sem prazo",TEXT(INDEX(Tarefas[Prazo],_xlfn.AGGREGATE(15,6,(ROW(Tarefas[ID])-ROW(INDEX(Tarefas[ID],1))+1)/(Tarefas[Status]=E$4),ROWS(E$6:E13))),"dd/mm/yyyy")),"")</f>
        <v>T24 | Publicar versão validada
Alta · Codex
Sem prazo</v>
      </c>
      <c r="F13" s="19" t="str">
        <f>IFERROR(INDEX(Tarefas[ID],_xlfn.AGGREGATE(15,6,(ROW(Tarefas[ID])-ROW(INDEX(Tarefas[ID],1))+1)/(Tarefas[Status]=F$4),ROWS(F$6:F13)))&amp;" | "&amp;INDEX(Tarefas[Tarefa],_xlfn.AGGREGATE(15,6,(ROW(Tarefas[ID])-ROW(INDEX(Tarefas[ID],1))+1)/(Tarefas[Status]=F$4),ROWS(F$6:F13)))&amp;CHAR(10)&amp;INDEX(Tarefas[Prioridade],_xlfn.AGGREGATE(15,6,(ROW(Tarefas[ID])-ROW(INDEX(Tarefas[ID],1))+1)/(Tarefas[Status]=F$4),ROWS(F$6:F13)))&amp;" · "&amp;INDEX(Tarefas[Responsável],_xlfn.AGGREGATE(15,6,(ROW(Tarefas[ID])-ROW(INDEX(Tarefas[ID],1))+1)/(Tarefas[Status]=F$4),ROWS(F$6:F13)))&amp;CHAR(10)&amp;IF(INDEX(Tarefas[Prazo],_xlfn.AGGREGATE(15,6,(ROW(Tarefas[ID])-ROW(INDEX(Tarefas[ID],1))+1)/(Tarefas[Status]=F$4),ROWS(F$6:F13)))=0,"Sem prazo",TEXT(INDEX(Tarefas[Prazo],_xlfn.AGGREGATE(15,6,(ROW(Tarefas[ID])-ROW(INDEX(Tarefas[ID],1))+1)/(Tarefas[Status]=F$4),ROWS(F$6:F13))),"dd/mm/yyyy")),"")</f>
        <v/>
      </c>
    </row>
    <row r="14" spans="1:6" ht="93.95" customHeight="1" x14ac:dyDescent="0.25">
      <c r="A14" s="18" t="str">
        <f>IFERROR(INDEX(Tarefas[ID],_xlfn.AGGREGATE(15,6,(ROW(Tarefas[ID])-ROW(INDEX(Tarefas[ID],1))+1)/(Tarefas[Status]=A$4),ROWS(A$6:A14)))&amp;" | "&amp;INDEX(Tarefas[Tarefa],_xlfn.AGGREGATE(15,6,(ROW(Tarefas[ID])-ROW(INDEX(Tarefas[ID],1))+1)/(Tarefas[Status]=A$4),ROWS(A$6:A14)))&amp;CHAR(10)&amp;INDEX(Tarefas[Prioridade],_xlfn.AGGREGATE(15,6,(ROW(Tarefas[ID])-ROW(INDEX(Tarefas[ID],1))+1)/(Tarefas[Status]=A$4),ROWS(A$6:A14)))&amp;" · "&amp;INDEX(Tarefas[Responsável],_xlfn.AGGREGATE(15,6,(ROW(Tarefas[ID])-ROW(INDEX(Tarefas[ID],1))+1)/(Tarefas[Status]=A$4),ROWS(A$6:A14)))&amp;CHAR(10)&amp;IF(INDEX(Tarefas[Prazo],_xlfn.AGGREGATE(15,6,(ROW(Tarefas[ID])-ROW(INDEX(Tarefas[ID],1))+1)/(Tarefas[Status]=A$4),ROWS(A$6:A14)))=0,"Sem prazo",TEXT(INDEX(Tarefas[Prazo],_xlfn.AGGREGATE(15,6,(ROW(Tarefas[ID])-ROW(INDEX(Tarefas[ID],1))+1)/(Tarefas[Status]=A$4),ROWS(A$6:A14))),"dd/mm/yyyy")),"")</f>
        <v/>
      </c>
      <c r="B14" s="18" t="str">
        <f>IFERROR(INDEX(Tarefas[ID],_xlfn.AGGREGATE(15,6,(ROW(Tarefas[ID])-ROW(INDEX(Tarefas[ID],1))+1)/(Tarefas[Status]=B$4),ROWS(B$6:B14)))&amp;" | "&amp;INDEX(Tarefas[Tarefa],_xlfn.AGGREGATE(15,6,(ROW(Tarefas[ID])-ROW(INDEX(Tarefas[ID],1))+1)/(Tarefas[Status]=B$4),ROWS(B$6:B14)))&amp;CHAR(10)&amp;INDEX(Tarefas[Prioridade],_xlfn.AGGREGATE(15,6,(ROW(Tarefas[ID])-ROW(INDEX(Tarefas[ID],1))+1)/(Tarefas[Status]=B$4),ROWS(B$6:B14)))&amp;" · "&amp;INDEX(Tarefas[Responsável],_xlfn.AGGREGATE(15,6,(ROW(Tarefas[ID])-ROW(INDEX(Tarefas[ID],1))+1)/(Tarefas[Status]=B$4),ROWS(B$6:B14)))&amp;CHAR(10)&amp;IF(INDEX(Tarefas[Prazo],_xlfn.AGGREGATE(15,6,(ROW(Tarefas[ID])-ROW(INDEX(Tarefas[ID],1))+1)/(Tarefas[Status]=B$4),ROWS(B$6:B14)))=0,"Sem prazo",TEXT(INDEX(Tarefas[Prazo],_xlfn.AGGREGATE(15,6,(ROW(Tarefas[ID])-ROW(INDEX(Tarefas[ID],1))+1)/(Tarefas[Status]=B$4),ROWS(B$6:B14))),"dd/mm/yyyy")),"")</f>
        <v/>
      </c>
      <c r="C14" s="18" t="str">
        <f>IFERROR(INDEX(Tarefas[ID],_xlfn.AGGREGATE(15,6,(ROW(Tarefas[ID])-ROW(INDEX(Tarefas[ID],1))+1)/(Tarefas[Status]=C$4),ROWS(C$6:C14)))&amp;" | "&amp;INDEX(Tarefas[Tarefa],_xlfn.AGGREGATE(15,6,(ROW(Tarefas[ID])-ROW(INDEX(Tarefas[ID],1))+1)/(Tarefas[Status]=C$4),ROWS(C$6:C14)))&amp;CHAR(10)&amp;INDEX(Tarefas[Prioridade],_xlfn.AGGREGATE(15,6,(ROW(Tarefas[ID])-ROW(INDEX(Tarefas[ID],1))+1)/(Tarefas[Status]=C$4),ROWS(C$6:C14)))&amp;" · "&amp;INDEX(Tarefas[Responsável],_xlfn.AGGREGATE(15,6,(ROW(Tarefas[ID])-ROW(INDEX(Tarefas[ID],1))+1)/(Tarefas[Status]=C$4),ROWS(C$6:C14)))&amp;CHAR(10)&amp;IF(INDEX(Tarefas[Prazo],_xlfn.AGGREGATE(15,6,(ROW(Tarefas[ID])-ROW(INDEX(Tarefas[ID],1))+1)/(Tarefas[Status]=C$4),ROWS(C$6:C14)))=0,"Sem prazo",TEXT(INDEX(Tarefas[Prazo],_xlfn.AGGREGATE(15,6,(ROW(Tarefas[ID])-ROW(INDEX(Tarefas[ID],1))+1)/(Tarefas[Status]=C$4),ROWS(C$6:C14))),"dd/mm/yyyy")),"")</f>
        <v/>
      </c>
      <c r="D14" s="18" t="str">
        <f>IFERROR(INDEX(Tarefas[ID],_xlfn.AGGREGATE(15,6,(ROW(Tarefas[ID])-ROW(INDEX(Tarefas[ID],1))+1)/(Tarefas[Status]=D$4),ROWS(D$6:D14)))&amp;" | "&amp;INDEX(Tarefas[Tarefa],_xlfn.AGGREGATE(15,6,(ROW(Tarefas[ID])-ROW(INDEX(Tarefas[ID],1))+1)/(Tarefas[Status]=D$4),ROWS(D$6:D14)))&amp;CHAR(10)&amp;INDEX(Tarefas[Prioridade],_xlfn.AGGREGATE(15,6,(ROW(Tarefas[ID])-ROW(INDEX(Tarefas[ID],1))+1)/(Tarefas[Status]=D$4),ROWS(D$6:D14)))&amp;" · "&amp;INDEX(Tarefas[Responsável],_xlfn.AGGREGATE(15,6,(ROW(Tarefas[ID])-ROW(INDEX(Tarefas[ID],1))+1)/(Tarefas[Status]=D$4),ROWS(D$6:D14)))&amp;CHAR(10)&amp;IF(INDEX(Tarefas[Prazo],_xlfn.AGGREGATE(15,6,(ROW(Tarefas[ID])-ROW(INDEX(Tarefas[ID],1))+1)/(Tarefas[Status]=D$4),ROWS(D$6:D14)))=0,"Sem prazo",TEXT(INDEX(Tarefas[Prazo],_xlfn.AGGREGATE(15,6,(ROW(Tarefas[ID])-ROW(INDEX(Tarefas[ID],1))+1)/(Tarefas[Status]=D$4),ROWS(D$6:D14))),"dd/mm/yyyy")),"")</f>
        <v>T26 | Ativar monitoramento e testar alerta
Alta · Hospedagem
Sem prazo</v>
      </c>
      <c r="E14" s="18" t="str">
        <f>IFERROR(INDEX(Tarefas[ID],_xlfn.AGGREGATE(15,6,(ROW(Tarefas[ID])-ROW(INDEX(Tarefas[ID],1))+1)/(Tarefas[Status]=E$4),ROWS(E$6:E14)))&amp;" | "&amp;INDEX(Tarefas[Tarefa],_xlfn.AGGREGATE(15,6,(ROW(Tarefas[ID])-ROW(INDEX(Tarefas[ID],1))+1)/(Tarefas[Status]=E$4),ROWS(E$6:E14)))&amp;CHAR(10)&amp;INDEX(Tarefas[Prioridade],_xlfn.AGGREGATE(15,6,(ROW(Tarefas[ID])-ROW(INDEX(Tarefas[ID],1))+1)/(Tarefas[Status]=E$4),ROWS(E$6:E14)))&amp;" · "&amp;INDEX(Tarefas[Responsável],_xlfn.AGGREGATE(15,6,(ROW(Tarefas[ID])-ROW(INDEX(Tarefas[ID],1))+1)/(Tarefas[Status]=E$4),ROWS(E$6:E14)))&amp;CHAR(10)&amp;IF(INDEX(Tarefas[Prazo],_xlfn.AGGREGATE(15,6,(ROW(Tarefas[ID])-ROW(INDEX(Tarefas[ID],1))+1)/(Tarefas[Status]=E$4),ROWS(E$6:E14)))=0,"Sem prazo",TEXT(INDEX(Tarefas[Prazo],_xlfn.AGGREGATE(15,6,(ROW(Tarefas[ID])-ROW(INDEX(Tarefas[ID],1))+1)/(Tarefas[Status]=E$4),ROWS(E$6:E14))),"dd/mm/yyyy")),"")</f>
        <v>T32 | Corrigir tipagem da seção de cupons
Média · Desenvolvimento
Sem prazo</v>
      </c>
      <c r="F14" s="18" t="str">
        <f>IFERROR(INDEX(Tarefas[ID],_xlfn.AGGREGATE(15,6,(ROW(Tarefas[ID])-ROW(INDEX(Tarefas[ID],1))+1)/(Tarefas[Status]=F$4),ROWS(F$6:F14)))&amp;" | "&amp;INDEX(Tarefas[Tarefa],_xlfn.AGGREGATE(15,6,(ROW(Tarefas[ID])-ROW(INDEX(Tarefas[ID],1))+1)/(Tarefas[Status]=F$4),ROWS(F$6:F14)))&amp;CHAR(10)&amp;INDEX(Tarefas[Prioridade],_xlfn.AGGREGATE(15,6,(ROW(Tarefas[ID])-ROW(INDEX(Tarefas[ID],1))+1)/(Tarefas[Status]=F$4),ROWS(F$6:F14)))&amp;" · "&amp;INDEX(Tarefas[Responsável],_xlfn.AGGREGATE(15,6,(ROW(Tarefas[ID])-ROW(INDEX(Tarefas[ID],1))+1)/(Tarefas[Status]=F$4),ROWS(F$6:F14)))&amp;CHAR(10)&amp;IF(INDEX(Tarefas[Prazo],_xlfn.AGGREGATE(15,6,(ROW(Tarefas[ID])-ROW(INDEX(Tarefas[ID],1))+1)/(Tarefas[Status]=F$4),ROWS(F$6:F14)))=0,"Sem prazo",TEXT(INDEX(Tarefas[Prazo],_xlfn.AGGREGATE(15,6,(ROW(Tarefas[ID])-ROW(INDEX(Tarefas[ID],1))+1)/(Tarefas[Status]=F$4),ROWS(F$6:F14))),"dd/mm/yyyy")),"")</f>
        <v/>
      </c>
    </row>
    <row r="15" spans="1:6" ht="93.95" customHeight="1" x14ac:dyDescent="0.25">
      <c r="A15" s="19" t="str">
        <f>IFERROR(INDEX(Tarefas[ID],_xlfn.AGGREGATE(15,6,(ROW(Tarefas[ID])-ROW(INDEX(Tarefas[ID],1))+1)/(Tarefas[Status]=A$4),ROWS(A$6:A15)))&amp;" | "&amp;INDEX(Tarefas[Tarefa],_xlfn.AGGREGATE(15,6,(ROW(Tarefas[ID])-ROW(INDEX(Tarefas[ID],1))+1)/(Tarefas[Status]=A$4),ROWS(A$6:A15)))&amp;CHAR(10)&amp;INDEX(Tarefas[Prioridade],_xlfn.AGGREGATE(15,6,(ROW(Tarefas[ID])-ROW(INDEX(Tarefas[ID],1))+1)/(Tarefas[Status]=A$4),ROWS(A$6:A15)))&amp;" · "&amp;INDEX(Tarefas[Responsável],_xlfn.AGGREGATE(15,6,(ROW(Tarefas[ID])-ROW(INDEX(Tarefas[ID],1))+1)/(Tarefas[Status]=A$4),ROWS(A$6:A15)))&amp;CHAR(10)&amp;IF(INDEX(Tarefas[Prazo],_xlfn.AGGREGATE(15,6,(ROW(Tarefas[ID])-ROW(INDEX(Tarefas[ID],1))+1)/(Tarefas[Status]=A$4),ROWS(A$6:A15)))=0,"Sem prazo",TEXT(INDEX(Tarefas[Prazo],_xlfn.AGGREGATE(15,6,(ROW(Tarefas[ID])-ROW(INDEX(Tarefas[ID],1))+1)/(Tarefas[Status]=A$4),ROWS(A$6:A15))),"dd/mm/yyyy")),"")</f>
        <v/>
      </c>
      <c r="B15" s="19" t="str">
        <f>IFERROR(INDEX(Tarefas[ID],_xlfn.AGGREGATE(15,6,(ROW(Tarefas[ID])-ROW(INDEX(Tarefas[ID],1))+1)/(Tarefas[Status]=B$4),ROWS(B$6:B15)))&amp;" | "&amp;INDEX(Tarefas[Tarefa],_xlfn.AGGREGATE(15,6,(ROW(Tarefas[ID])-ROW(INDEX(Tarefas[ID],1))+1)/(Tarefas[Status]=B$4),ROWS(B$6:B15)))&amp;CHAR(10)&amp;INDEX(Tarefas[Prioridade],_xlfn.AGGREGATE(15,6,(ROW(Tarefas[ID])-ROW(INDEX(Tarefas[ID],1))+1)/(Tarefas[Status]=B$4),ROWS(B$6:B15)))&amp;" · "&amp;INDEX(Tarefas[Responsável],_xlfn.AGGREGATE(15,6,(ROW(Tarefas[ID])-ROW(INDEX(Tarefas[ID],1))+1)/(Tarefas[Status]=B$4),ROWS(B$6:B15)))&amp;CHAR(10)&amp;IF(INDEX(Tarefas[Prazo],_xlfn.AGGREGATE(15,6,(ROW(Tarefas[ID])-ROW(INDEX(Tarefas[ID],1))+1)/(Tarefas[Status]=B$4),ROWS(B$6:B15)))=0,"Sem prazo",TEXT(INDEX(Tarefas[Prazo],_xlfn.AGGREGATE(15,6,(ROW(Tarefas[ID])-ROW(INDEX(Tarefas[ID],1))+1)/(Tarefas[Status]=B$4),ROWS(B$6:B15))),"dd/mm/yyyy")),"")</f>
        <v/>
      </c>
      <c r="C15" s="19" t="str">
        <f>IFERROR(INDEX(Tarefas[ID],_xlfn.AGGREGATE(15,6,(ROW(Tarefas[ID])-ROW(INDEX(Tarefas[ID],1))+1)/(Tarefas[Status]=C$4),ROWS(C$6:C15)))&amp;" | "&amp;INDEX(Tarefas[Tarefa],_xlfn.AGGREGATE(15,6,(ROW(Tarefas[ID])-ROW(INDEX(Tarefas[ID],1))+1)/(Tarefas[Status]=C$4),ROWS(C$6:C15)))&amp;CHAR(10)&amp;INDEX(Tarefas[Prioridade],_xlfn.AGGREGATE(15,6,(ROW(Tarefas[ID])-ROW(INDEX(Tarefas[ID],1))+1)/(Tarefas[Status]=C$4),ROWS(C$6:C15)))&amp;" · "&amp;INDEX(Tarefas[Responsável],_xlfn.AGGREGATE(15,6,(ROW(Tarefas[ID])-ROW(INDEX(Tarefas[ID],1))+1)/(Tarefas[Status]=C$4),ROWS(C$6:C15)))&amp;CHAR(10)&amp;IF(INDEX(Tarefas[Prazo],_xlfn.AGGREGATE(15,6,(ROW(Tarefas[ID])-ROW(INDEX(Tarefas[ID],1))+1)/(Tarefas[Status]=C$4),ROWS(C$6:C15)))=0,"Sem prazo",TEXT(INDEX(Tarefas[Prazo],_xlfn.AGGREGATE(15,6,(ROW(Tarefas[ID])-ROW(INDEX(Tarefas[ID],1))+1)/(Tarefas[Status]=C$4),ROWS(C$6:C15))),"dd/mm/yyyy")),"")</f>
        <v/>
      </c>
      <c r="D15" s="19" t="str">
        <f>IFERROR(INDEX(Tarefas[ID],_xlfn.AGGREGATE(15,6,(ROW(Tarefas[ID])-ROW(INDEX(Tarefas[ID],1))+1)/(Tarefas[Status]=D$4),ROWS(D$6:D15)))&amp;" | "&amp;INDEX(Tarefas[Tarefa],_xlfn.AGGREGATE(15,6,(ROW(Tarefas[ID])-ROW(INDEX(Tarefas[ID],1))+1)/(Tarefas[Status]=D$4),ROWS(D$6:D15)))&amp;CHAR(10)&amp;INDEX(Tarefas[Prioridade],_xlfn.AGGREGATE(15,6,(ROW(Tarefas[ID])-ROW(INDEX(Tarefas[ID],1))+1)/(Tarefas[Status]=D$4),ROWS(D$6:D15)))&amp;" · "&amp;INDEX(Tarefas[Responsável],_xlfn.AGGREGATE(15,6,(ROW(Tarefas[ID])-ROW(INDEX(Tarefas[ID],1))+1)/(Tarefas[Status]=D$4),ROWS(D$6:D15)))&amp;CHAR(10)&amp;IF(INDEX(Tarefas[Prazo],_xlfn.AGGREGATE(15,6,(ROW(Tarefas[ID])-ROW(INDEX(Tarefas[ID],1))+1)/(Tarefas[Status]=D$4),ROWS(D$6:D15)))=0,"Sem prazo",TEXT(INDEX(Tarefas[Prazo],_xlfn.AGGREGATE(15,6,(ROW(Tarefas[ID])-ROW(INDEX(Tarefas[ID],1))+1)/(Tarefas[Status]=D$4),ROWS(D$6:D15))),"dd/mm/yyyy")),"")</f>
        <v/>
      </c>
      <c r="E15" s="19" t="str">
        <f>IFERROR(INDEX(Tarefas[ID],_xlfn.AGGREGATE(15,6,(ROW(Tarefas[ID])-ROW(INDEX(Tarefas[ID],1))+1)/(Tarefas[Status]=E$4),ROWS(E$6:E15)))&amp;" | "&amp;INDEX(Tarefas[Tarefa],_xlfn.AGGREGATE(15,6,(ROW(Tarefas[ID])-ROW(INDEX(Tarefas[ID],1))+1)/(Tarefas[Status]=E$4),ROWS(E$6:E15)))&amp;CHAR(10)&amp;INDEX(Tarefas[Prioridade],_xlfn.AGGREGATE(15,6,(ROW(Tarefas[ID])-ROW(INDEX(Tarefas[ID],1))+1)/(Tarefas[Status]=E$4),ROWS(E$6:E15)))&amp;" · "&amp;INDEX(Tarefas[Responsável],_xlfn.AGGREGATE(15,6,(ROW(Tarefas[ID])-ROW(INDEX(Tarefas[ID],1))+1)/(Tarefas[Status]=E$4),ROWS(E$6:E15)))&amp;CHAR(10)&amp;IF(INDEX(Tarefas[Prazo],_xlfn.AGGREGATE(15,6,(ROW(Tarefas[ID])-ROW(INDEX(Tarefas[ID],1))+1)/(Tarefas[Status]=E$4),ROWS(E$6:E15)))=0,"Sem prazo",TEXT(INDEX(Tarefas[Prazo],_xlfn.AGGREGATE(15,6,(ROW(Tarefas[ID])-ROW(INDEX(Tarefas[ID],1))+1)/(Tarefas[Status]=E$4),ROWS(E$6:E15))),"dd/mm/yyyy")),"")</f>
        <v>T33 | Corrigir autenticação durante carregamento das telas
Média · Desenvolvimento
Sem prazo</v>
      </c>
      <c r="F15" s="19" t="str">
        <f>IFERROR(INDEX(Tarefas[ID],_xlfn.AGGREGATE(15,6,(ROW(Tarefas[ID])-ROW(INDEX(Tarefas[ID],1))+1)/(Tarefas[Status]=F$4),ROWS(F$6:F15)))&amp;" | "&amp;INDEX(Tarefas[Tarefa],_xlfn.AGGREGATE(15,6,(ROW(Tarefas[ID])-ROW(INDEX(Tarefas[ID],1))+1)/(Tarefas[Status]=F$4),ROWS(F$6:F15)))&amp;CHAR(10)&amp;INDEX(Tarefas[Prioridade],_xlfn.AGGREGATE(15,6,(ROW(Tarefas[ID])-ROW(INDEX(Tarefas[ID],1))+1)/(Tarefas[Status]=F$4),ROWS(F$6:F15)))&amp;" · "&amp;INDEX(Tarefas[Responsável],_xlfn.AGGREGATE(15,6,(ROW(Tarefas[ID])-ROW(INDEX(Tarefas[ID],1))+1)/(Tarefas[Status]=F$4),ROWS(F$6:F15)))&amp;CHAR(10)&amp;IF(INDEX(Tarefas[Prazo],_xlfn.AGGREGATE(15,6,(ROW(Tarefas[ID])-ROW(INDEX(Tarefas[ID],1))+1)/(Tarefas[Status]=F$4),ROWS(F$6:F15)))=0,"Sem prazo",TEXT(INDEX(Tarefas[Prazo],_xlfn.AGGREGATE(15,6,(ROW(Tarefas[ID])-ROW(INDEX(Tarefas[ID],1))+1)/(Tarefas[Status]=F$4),ROWS(F$6:F15))),"dd/mm/yyyy")),"")</f>
        <v/>
      </c>
    </row>
    <row r="16" spans="1:6" ht="93.95" customHeight="1" x14ac:dyDescent="0.25">
      <c r="A16" s="18" t="str">
        <f>IFERROR(INDEX(Tarefas[ID],_xlfn.AGGREGATE(15,6,(ROW(Tarefas[ID])-ROW(INDEX(Tarefas[ID],1))+1)/(Tarefas[Status]=A$4),ROWS(A$6:A16)))&amp;" | "&amp;INDEX(Tarefas[Tarefa],_xlfn.AGGREGATE(15,6,(ROW(Tarefas[ID])-ROW(INDEX(Tarefas[ID],1))+1)/(Tarefas[Status]=A$4),ROWS(A$6:A16)))&amp;CHAR(10)&amp;INDEX(Tarefas[Prioridade],_xlfn.AGGREGATE(15,6,(ROW(Tarefas[ID])-ROW(INDEX(Tarefas[ID],1))+1)/(Tarefas[Status]=A$4),ROWS(A$6:A16)))&amp;" · "&amp;INDEX(Tarefas[Responsável],_xlfn.AGGREGATE(15,6,(ROW(Tarefas[ID])-ROW(INDEX(Tarefas[ID],1))+1)/(Tarefas[Status]=A$4),ROWS(A$6:A16)))&amp;CHAR(10)&amp;IF(INDEX(Tarefas[Prazo],_xlfn.AGGREGATE(15,6,(ROW(Tarefas[ID])-ROW(INDEX(Tarefas[ID],1))+1)/(Tarefas[Status]=A$4),ROWS(A$6:A16)))=0,"Sem prazo",TEXT(INDEX(Tarefas[Prazo],_xlfn.AGGREGATE(15,6,(ROW(Tarefas[ID])-ROW(INDEX(Tarefas[ID],1))+1)/(Tarefas[Status]=A$4),ROWS(A$6:A16))),"dd/mm/yyyy")),"")</f>
        <v/>
      </c>
      <c r="B16" s="18" t="str">
        <f>IFERROR(INDEX(Tarefas[ID],_xlfn.AGGREGATE(15,6,(ROW(Tarefas[ID])-ROW(INDEX(Tarefas[ID],1))+1)/(Tarefas[Status]=B$4),ROWS(B$6:B16)))&amp;" | "&amp;INDEX(Tarefas[Tarefa],_xlfn.AGGREGATE(15,6,(ROW(Tarefas[ID])-ROW(INDEX(Tarefas[ID],1))+1)/(Tarefas[Status]=B$4),ROWS(B$6:B16)))&amp;CHAR(10)&amp;INDEX(Tarefas[Prioridade],_xlfn.AGGREGATE(15,6,(ROW(Tarefas[ID])-ROW(INDEX(Tarefas[ID],1))+1)/(Tarefas[Status]=B$4),ROWS(B$6:B16)))&amp;" · "&amp;INDEX(Tarefas[Responsável],_xlfn.AGGREGATE(15,6,(ROW(Tarefas[ID])-ROW(INDEX(Tarefas[ID],1))+1)/(Tarefas[Status]=B$4),ROWS(B$6:B16)))&amp;CHAR(10)&amp;IF(INDEX(Tarefas[Prazo],_xlfn.AGGREGATE(15,6,(ROW(Tarefas[ID])-ROW(INDEX(Tarefas[ID],1))+1)/(Tarefas[Status]=B$4),ROWS(B$6:B16)))=0,"Sem prazo",TEXT(INDEX(Tarefas[Prazo],_xlfn.AGGREGATE(15,6,(ROW(Tarefas[ID])-ROW(INDEX(Tarefas[ID],1))+1)/(Tarefas[Status]=B$4),ROWS(B$6:B16))),"dd/mm/yyyy")),"")</f>
        <v/>
      </c>
      <c r="C16" s="18" t="str">
        <f>IFERROR(INDEX(Tarefas[ID],_xlfn.AGGREGATE(15,6,(ROW(Tarefas[ID])-ROW(INDEX(Tarefas[ID],1))+1)/(Tarefas[Status]=C$4),ROWS(C$6:C16)))&amp;" | "&amp;INDEX(Tarefas[Tarefa],_xlfn.AGGREGATE(15,6,(ROW(Tarefas[ID])-ROW(INDEX(Tarefas[ID],1))+1)/(Tarefas[Status]=C$4),ROWS(C$6:C16)))&amp;CHAR(10)&amp;INDEX(Tarefas[Prioridade],_xlfn.AGGREGATE(15,6,(ROW(Tarefas[ID])-ROW(INDEX(Tarefas[ID],1))+1)/(Tarefas[Status]=C$4),ROWS(C$6:C16)))&amp;" · "&amp;INDEX(Tarefas[Responsável],_xlfn.AGGREGATE(15,6,(ROW(Tarefas[ID])-ROW(INDEX(Tarefas[ID],1))+1)/(Tarefas[Status]=C$4),ROWS(C$6:C16)))&amp;CHAR(10)&amp;IF(INDEX(Tarefas[Prazo],_xlfn.AGGREGATE(15,6,(ROW(Tarefas[ID])-ROW(INDEX(Tarefas[ID],1))+1)/(Tarefas[Status]=C$4),ROWS(C$6:C16)))=0,"Sem prazo",TEXT(INDEX(Tarefas[Prazo],_xlfn.AGGREGATE(15,6,(ROW(Tarefas[ID])-ROW(INDEX(Tarefas[ID],1))+1)/(Tarefas[Status]=C$4),ROWS(C$6:C16))),"dd/mm/yyyy")),"")</f>
        <v/>
      </c>
      <c r="D16" s="18" t="str">
        <f>IFERROR(INDEX(Tarefas[ID],_xlfn.AGGREGATE(15,6,(ROW(Tarefas[ID])-ROW(INDEX(Tarefas[ID],1))+1)/(Tarefas[Status]=D$4),ROWS(D$6:D16)))&amp;" | "&amp;INDEX(Tarefas[Tarefa],_xlfn.AGGREGATE(15,6,(ROW(Tarefas[ID])-ROW(INDEX(Tarefas[ID],1))+1)/(Tarefas[Status]=D$4),ROWS(D$6:D16)))&amp;CHAR(10)&amp;INDEX(Tarefas[Prioridade],_xlfn.AGGREGATE(15,6,(ROW(Tarefas[ID])-ROW(INDEX(Tarefas[ID],1))+1)/(Tarefas[Status]=D$4),ROWS(D$6:D16)))&amp;" · "&amp;INDEX(Tarefas[Responsável],_xlfn.AGGREGATE(15,6,(ROW(Tarefas[ID])-ROW(INDEX(Tarefas[ID],1))+1)/(Tarefas[Status]=D$4),ROWS(D$6:D16)))&amp;CHAR(10)&amp;IF(INDEX(Tarefas[Prazo],_xlfn.AGGREGATE(15,6,(ROW(Tarefas[ID])-ROW(INDEX(Tarefas[ID],1))+1)/(Tarefas[Status]=D$4),ROWS(D$6:D16)))=0,"Sem prazo",TEXT(INDEX(Tarefas[Prazo],_xlfn.AGGREGATE(15,6,(ROW(Tarefas[ID])-ROW(INDEX(Tarefas[ID],1))+1)/(Tarefas[Status]=D$4),ROWS(D$6:D16))),"dd/mm/yyyy")),"")</f>
        <v/>
      </c>
      <c r="E16" s="18" t="str">
        <f>IFERROR(INDEX(Tarefas[ID],_xlfn.AGGREGATE(15,6,(ROW(Tarefas[ID])-ROW(INDEX(Tarefas[ID],1))+1)/(Tarefas[Status]=E$4),ROWS(E$6:E16)))&amp;" | "&amp;INDEX(Tarefas[Tarefa],_xlfn.AGGREGATE(15,6,(ROW(Tarefas[ID])-ROW(INDEX(Tarefas[ID],1))+1)/(Tarefas[Status]=E$4),ROWS(E$6:E16)))&amp;CHAR(10)&amp;INDEX(Tarefas[Prioridade],_xlfn.AGGREGATE(15,6,(ROW(Tarefas[ID])-ROW(INDEX(Tarefas[ID],1))+1)/(Tarefas[Status]=E$4),ROWS(E$6:E16)))&amp;" · "&amp;INDEX(Tarefas[Responsável],_xlfn.AGGREGATE(15,6,(ROW(Tarefas[ID])-ROW(INDEX(Tarefas[ID],1))+1)/(Tarefas[Status]=E$4),ROWS(E$6:E16)))&amp;CHAR(10)&amp;IF(INDEX(Tarefas[Prazo],_xlfn.AGGREGATE(15,6,(ROW(Tarefas[ID])-ROW(INDEX(Tarefas[ID],1))+1)/(Tarefas[Status]=E$4),ROWS(E$6:E16)))=0,"Sem prazo",TEXT(INDEX(Tarefas[Prazo],_xlfn.AGGREGATE(15,6,(ROW(Tarefas[ID])-ROW(INDEX(Tarefas[ID],1))+1)/(Tarefas[Status]=E$4),ROWS(E$6:E16))),"dd/mm/yyyy")),"")</f>
        <v>T34 | Estabilizar testes Vite/TypeScript no Windows
Média · Desenvolvimento
Sem prazo</v>
      </c>
      <c r="F16" s="18" t="str">
        <f>IFERROR(INDEX(Tarefas[ID],_xlfn.AGGREGATE(15,6,(ROW(Tarefas[ID])-ROW(INDEX(Tarefas[ID],1))+1)/(Tarefas[Status]=F$4),ROWS(F$6:F16)))&amp;" | "&amp;INDEX(Tarefas[Tarefa],_xlfn.AGGREGATE(15,6,(ROW(Tarefas[ID])-ROW(INDEX(Tarefas[ID],1))+1)/(Tarefas[Status]=F$4),ROWS(F$6:F16)))&amp;CHAR(10)&amp;INDEX(Tarefas[Prioridade],_xlfn.AGGREGATE(15,6,(ROW(Tarefas[ID])-ROW(INDEX(Tarefas[ID],1))+1)/(Tarefas[Status]=F$4),ROWS(F$6:F16)))&amp;" · "&amp;INDEX(Tarefas[Responsável],_xlfn.AGGREGATE(15,6,(ROW(Tarefas[ID])-ROW(INDEX(Tarefas[ID],1))+1)/(Tarefas[Status]=F$4),ROWS(F$6:F16)))&amp;CHAR(10)&amp;IF(INDEX(Tarefas[Prazo],_xlfn.AGGREGATE(15,6,(ROW(Tarefas[ID])-ROW(INDEX(Tarefas[ID],1))+1)/(Tarefas[Status]=F$4),ROWS(F$6:F16)))=0,"Sem prazo",TEXT(INDEX(Tarefas[Prazo],_xlfn.AGGREGATE(15,6,(ROW(Tarefas[ID])-ROW(INDEX(Tarefas[ID],1))+1)/(Tarefas[Status]=F$4),ROWS(F$6:F16))),"dd/mm/yyyy")),"")</f>
        <v/>
      </c>
    </row>
    <row r="17" spans="1:6" ht="93.95" customHeight="1" x14ac:dyDescent="0.25">
      <c r="A17" s="19" t="str">
        <f>IFERROR(INDEX(Tarefas[ID],_xlfn.AGGREGATE(15,6,(ROW(Tarefas[ID])-ROW(INDEX(Tarefas[ID],1))+1)/(Tarefas[Status]=A$4),ROWS(A$6:A17)))&amp;" | "&amp;INDEX(Tarefas[Tarefa],_xlfn.AGGREGATE(15,6,(ROW(Tarefas[ID])-ROW(INDEX(Tarefas[ID],1))+1)/(Tarefas[Status]=A$4),ROWS(A$6:A17)))&amp;CHAR(10)&amp;INDEX(Tarefas[Prioridade],_xlfn.AGGREGATE(15,6,(ROW(Tarefas[ID])-ROW(INDEX(Tarefas[ID],1))+1)/(Tarefas[Status]=A$4),ROWS(A$6:A17)))&amp;" · "&amp;INDEX(Tarefas[Responsável],_xlfn.AGGREGATE(15,6,(ROW(Tarefas[ID])-ROW(INDEX(Tarefas[ID],1))+1)/(Tarefas[Status]=A$4),ROWS(A$6:A17)))&amp;CHAR(10)&amp;IF(INDEX(Tarefas[Prazo],_xlfn.AGGREGATE(15,6,(ROW(Tarefas[ID])-ROW(INDEX(Tarefas[ID],1))+1)/(Tarefas[Status]=A$4),ROWS(A$6:A17)))=0,"Sem prazo",TEXT(INDEX(Tarefas[Prazo],_xlfn.AGGREGATE(15,6,(ROW(Tarefas[ID])-ROW(INDEX(Tarefas[ID],1))+1)/(Tarefas[Status]=A$4),ROWS(A$6:A17))),"dd/mm/yyyy")),"")</f>
        <v/>
      </c>
      <c r="B17" s="19" t="str">
        <f>IFERROR(INDEX(Tarefas[ID],_xlfn.AGGREGATE(15,6,(ROW(Tarefas[ID])-ROW(INDEX(Tarefas[ID],1))+1)/(Tarefas[Status]=B$4),ROWS(B$6:B17)))&amp;" | "&amp;INDEX(Tarefas[Tarefa],_xlfn.AGGREGATE(15,6,(ROW(Tarefas[ID])-ROW(INDEX(Tarefas[ID],1))+1)/(Tarefas[Status]=B$4),ROWS(B$6:B17)))&amp;CHAR(10)&amp;INDEX(Tarefas[Prioridade],_xlfn.AGGREGATE(15,6,(ROW(Tarefas[ID])-ROW(INDEX(Tarefas[ID],1))+1)/(Tarefas[Status]=B$4),ROWS(B$6:B17)))&amp;" · "&amp;INDEX(Tarefas[Responsável],_xlfn.AGGREGATE(15,6,(ROW(Tarefas[ID])-ROW(INDEX(Tarefas[ID],1))+1)/(Tarefas[Status]=B$4),ROWS(B$6:B17)))&amp;CHAR(10)&amp;IF(INDEX(Tarefas[Prazo],_xlfn.AGGREGATE(15,6,(ROW(Tarefas[ID])-ROW(INDEX(Tarefas[ID],1))+1)/(Tarefas[Status]=B$4),ROWS(B$6:B17)))=0,"Sem prazo",TEXT(INDEX(Tarefas[Prazo],_xlfn.AGGREGATE(15,6,(ROW(Tarefas[ID])-ROW(INDEX(Tarefas[ID],1))+1)/(Tarefas[Status]=B$4),ROWS(B$6:B17))),"dd/mm/yyyy")),"")</f>
        <v/>
      </c>
      <c r="C17" s="19" t="str">
        <f>IFERROR(INDEX(Tarefas[ID],_xlfn.AGGREGATE(15,6,(ROW(Tarefas[ID])-ROW(INDEX(Tarefas[ID],1))+1)/(Tarefas[Status]=C$4),ROWS(C$6:C17)))&amp;" | "&amp;INDEX(Tarefas[Tarefa],_xlfn.AGGREGATE(15,6,(ROW(Tarefas[ID])-ROW(INDEX(Tarefas[ID],1))+1)/(Tarefas[Status]=C$4),ROWS(C$6:C17)))&amp;CHAR(10)&amp;INDEX(Tarefas[Prioridade],_xlfn.AGGREGATE(15,6,(ROW(Tarefas[ID])-ROW(INDEX(Tarefas[ID],1))+1)/(Tarefas[Status]=C$4),ROWS(C$6:C17)))&amp;" · "&amp;INDEX(Tarefas[Responsável],_xlfn.AGGREGATE(15,6,(ROW(Tarefas[ID])-ROW(INDEX(Tarefas[ID],1))+1)/(Tarefas[Status]=C$4),ROWS(C$6:C17)))&amp;CHAR(10)&amp;IF(INDEX(Tarefas[Prazo],_xlfn.AGGREGATE(15,6,(ROW(Tarefas[ID])-ROW(INDEX(Tarefas[ID],1))+1)/(Tarefas[Status]=C$4),ROWS(C$6:C17)))=0,"Sem prazo",TEXT(INDEX(Tarefas[Prazo],_xlfn.AGGREGATE(15,6,(ROW(Tarefas[ID])-ROW(INDEX(Tarefas[ID],1))+1)/(Tarefas[Status]=C$4),ROWS(C$6:C17))),"dd/mm/yyyy")),"")</f>
        <v/>
      </c>
      <c r="D17" s="19" t="str">
        <f>IFERROR(INDEX(Tarefas[ID],_xlfn.AGGREGATE(15,6,(ROW(Tarefas[ID])-ROW(INDEX(Tarefas[ID],1))+1)/(Tarefas[Status]=D$4),ROWS(D$6:D17)))&amp;" | "&amp;INDEX(Tarefas[Tarefa],_xlfn.AGGREGATE(15,6,(ROW(Tarefas[ID])-ROW(INDEX(Tarefas[ID],1))+1)/(Tarefas[Status]=D$4),ROWS(D$6:D17)))&amp;CHAR(10)&amp;INDEX(Tarefas[Prioridade],_xlfn.AGGREGATE(15,6,(ROW(Tarefas[ID])-ROW(INDEX(Tarefas[ID],1))+1)/(Tarefas[Status]=D$4),ROWS(D$6:D17)))&amp;" · "&amp;INDEX(Tarefas[Responsável],_xlfn.AGGREGATE(15,6,(ROW(Tarefas[ID])-ROW(INDEX(Tarefas[ID],1))+1)/(Tarefas[Status]=D$4),ROWS(D$6:D17)))&amp;CHAR(10)&amp;IF(INDEX(Tarefas[Prazo],_xlfn.AGGREGATE(15,6,(ROW(Tarefas[ID])-ROW(INDEX(Tarefas[ID],1))+1)/(Tarefas[Status]=D$4),ROWS(D$6:D17)))=0,"Sem prazo",TEXT(INDEX(Tarefas[Prazo],_xlfn.AGGREGATE(15,6,(ROW(Tarefas[ID])-ROW(INDEX(Tarefas[ID],1))+1)/(Tarefas[Status]=D$4),ROWS(D$6:D17))),"dd/mm/yyyy")),"")</f>
        <v/>
      </c>
      <c r="E17" s="19" t="str">
        <f>IFERROR(INDEX(Tarefas[ID],_xlfn.AGGREGATE(15,6,(ROW(Tarefas[ID])-ROW(INDEX(Tarefas[ID],1))+1)/(Tarefas[Status]=E$4),ROWS(E$6:E17)))&amp;" | "&amp;INDEX(Tarefas[Tarefa],_xlfn.AGGREGATE(15,6,(ROW(Tarefas[ID])-ROW(INDEX(Tarefas[ID],1))+1)/(Tarefas[Status]=E$4),ROWS(E$6:E17)))&amp;CHAR(10)&amp;INDEX(Tarefas[Prioridade],_xlfn.AGGREGATE(15,6,(ROW(Tarefas[ID])-ROW(INDEX(Tarefas[ID],1))+1)/(Tarefas[Status]=E$4),ROWS(E$6:E17)))&amp;" · "&amp;INDEX(Tarefas[Responsável],_xlfn.AGGREGATE(15,6,(ROW(Tarefas[ID])-ROW(INDEX(Tarefas[ID],1))+1)/(Tarefas[Status]=E$4),ROWS(E$6:E17)))&amp;CHAR(10)&amp;IF(INDEX(Tarefas[Prazo],_xlfn.AGGREGATE(15,6,(ROW(Tarefas[ID])-ROW(INDEX(Tarefas[ID],1))+1)/(Tarefas[Status]=E$4),ROWS(E$6:E17)))=0,"Sem prazo",TEXT(INDEX(Tarefas[Prazo],_xlfn.AGGREGATE(15,6,(ROW(Tarefas[ID])-ROW(INDEX(Tarefas[ID],1))+1)/(Tarefas[Status]=E$4),ROWS(E$6:E17))),"dd/mm/yyyy")),"")</f>
        <v>T35 | Ajustar formulário de fotos para celular de 320 px
Média · Desenvolvimento
Sem prazo</v>
      </c>
      <c r="F17" s="19" t="str">
        <f>IFERROR(INDEX(Tarefas[ID],_xlfn.AGGREGATE(15,6,(ROW(Tarefas[ID])-ROW(INDEX(Tarefas[ID],1))+1)/(Tarefas[Status]=F$4),ROWS(F$6:F17)))&amp;" | "&amp;INDEX(Tarefas[Tarefa],_xlfn.AGGREGATE(15,6,(ROW(Tarefas[ID])-ROW(INDEX(Tarefas[ID],1))+1)/(Tarefas[Status]=F$4),ROWS(F$6:F17)))&amp;CHAR(10)&amp;INDEX(Tarefas[Prioridade],_xlfn.AGGREGATE(15,6,(ROW(Tarefas[ID])-ROW(INDEX(Tarefas[ID],1))+1)/(Tarefas[Status]=F$4),ROWS(F$6:F17)))&amp;" · "&amp;INDEX(Tarefas[Responsável],_xlfn.AGGREGATE(15,6,(ROW(Tarefas[ID])-ROW(INDEX(Tarefas[ID],1))+1)/(Tarefas[Status]=F$4),ROWS(F$6:F17)))&amp;CHAR(10)&amp;IF(INDEX(Tarefas[Prazo],_xlfn.AGGREGATE(15,6,(ROW(Tarefas[ID])-ROW(INDEX(Tarefas[ID],1))+1)/(Tarefas[Status]=F$4),ROWS(F$6:F17)))=0,"Sem prazo",TEXT(INDEX(Tarefas[Prazo],_xlfn.AGGREGATE(15,6,(ROW(Tarefas[ID])-ROW(INDEX(Tarefas[ID],1))+1)/(Tarefas[Status]=F$4),ROWS(F$6:F17))),"dd/mm/yyyy")),"")</f>
        <v/>
      </c>
    </row>
    <row r="18" spans="1:6" ht="93.95" customHeight="1" x14ac:dyDescent="0.25">
      <c r="A18" s="18" t="str">
        <f>IFERROR(INDEX(Tarefas[ID],_xlfn.AGGREGATE(15,6,(ROW(Tarefas[ID])-ROW(INDEX(Tarefas[ID],1))+1)/(Tarefas[Status]=A$4),ROWS(A$6:A18)))&amp;" | "&amp;INDEX(Tarefas[Tarefa],_xlfn.AGGREGATE(15,6,(ROW(Tarefas[ID])-ROW(INDEX(Tarefas[ID],1))+1)/(Tarefas[Status]=A$4),ROWS(A$6:A18)))&amp;CHAR(10)&amp;INDEX(Tarefas[Prioridade],_xlfn.AGGREGATE(15,6,(ROW(Tarefas[ID])-ROW(INDEX(Tarefas[ID],1))+1)/(Tarefas[Status]=A$4),ROWS(A$6:A18)))&amp;" · "&amp;INDEX(Tarefas[Responsável],_xlfn.AGGREGATE(15,6,(ROW(Tarefas[ID])-ROW(INDEX(Tarefas[ID],1))+1)/(Tarefas[Status]=A$4),ROWS(A$6:A18)))&amp;CHAR(10)&amp;IF(INDEX(Tarefas[Prazo],_xlfn.AGGREGATE(15,6,(ROW(Tarefas[ID])-ROW(INDEX(Tarefas[ID],1))+1)/(Tarefas[Status]=A$4),ROWS(A$6:A18)))=0,"Sem prazo",TEXT(INDEX(Tarefas[Prazo],_xlfn.AGGREGATE(15,6,(ROW(Tarefas[ID])-ROW(INDEX(Tarefas[ID],1))+1)/(Tarefas[Status]=A$4),ROWS(A$6:A18))),"dd/mm/yyyy")),"")</f>
        <v/>
      </c>
      <c r="B18" s="18" t="str">
        <f>IFERROR(INDEX(Tarefas[ID],_xlfn.AGGREGATE(15,6,(ROW(Tarefas[ID])-ROW(INDEX(Tarefas[ID],1))+1)/(Tarefas[Status]=B$4),ROWS(B$6:B18)))&amp;" | "&amp;INDEX(Tarefas[Tarefa],_xlfn.AGGREGATE(15,6,(ROW(Tarefas[ID])-ROW(INDEX(Tarefas[ID],1))+1)/(Tarefas[Status]=B$4),ROWS(B$6:B18)))&amp;CHAR(10)&amp;INDEX(Tarefas[Prioridade],_xlfn.AGGREGATE(15,6,(ROW(Tarefas[ID])-ROW(INDEX(Tarefas[ID],1))+1)/(Tarefas[Status]=B$4),ROWS(B$6:B18)))&amp;" · "&amp;INDEX(Tarefas[Responsável],_xlfn.AGGREGATE(15,6,(ROW(Tarefas[ID])-ROW(INDEX(Tarefas[ID],1))+1)/(Tarefas[Status]=B$4),ROWS(B$6:B18)))&amp;CHAR(10)&amp;IF(INDEX(Tarefas[Prazo],_xlfn.AGGREGATE(15,6,(ROW(Tarefas[ID])-ROW(INDEX(Tarefas[ID],1))+1)/(Tarefas[Status]=B$4),ROWS(B$6:B18)))=0,"Sem prazo",TEXT(INDEX(Tarefas[Prazo],_xlfn.AGGREGATE(15,6,(ROW(Tarefas[ID])-ROW(INDEX(Tarefas[ID],1))+1)/(Tarefas[Status]=B$4),ROWS(B$6:B18))),"dd/mm/yyyy")),"")</f>
        <v/>
      </c>
      <c r="C18" s="18" t="str">
        <f>IFERROR(INDEX(Tarefas[ID],_xlfn.AGGREGATE(15,6,(ROW(Tarefas[ID])-ROW(INDEX(Tarefas[ID],1))+1)/(Tarefas[Status]=C$4),ROWS(C$6:C18)))&amp;" | "&amp;INDEX(Tarefas[Tarefa],_xlfn.AGGREGATE(15,6,(ROW(Tarefas[ID])-ROW(INDEX(Tarefas[ID],1))+1)/(Tarefas[Status]=C$4),ROWS(C$6:C18)))&amp;CHAR(10)&amp;INDEX(Tarefas[Prioridade],_xlfn.AGGREGATE(15,6,(ROW(Tarefas[ID])-ROW(INDEX(Tarefas[ID],1))+1)/(Tarefas[Status]=C$4),ROWS(C$6:C18)))&amp;" · "&amp;INDEX(Tarefas[Responsável],_xlfn.AGGREGATE(15,6,(ROW(Tarefas[ID])-ROW(INDEX(Tarefas[ID],1))+1)/(Tarefas[Status]=C$4),ROWS(C$6:C18)))&amp;CHAR(10)&amp;IF(INDEX(Tarefas[Prazo],_xlfn.AGGREGATE(15,6,(ROW(Tarefas[ID])-ROW(INDEX(Tarefas[ID],1))+1)/(Tarefas[Status]=C$4),ROWS(C$6:C18)))=0,"Sem prazo",TEXT(INDEX(Tarefas[Prazo],_xlfn.AGGREGATE(15,6,(ROW(Tarefas[ID])-ROW(INDEX(Tarefas[ID],1))+1)/(Tarefas[Status]=C$4),ROWS(C$6:C18))),"dd/mm/yyyy")),"")</f>
        <v/>
      </c>
      <c r="D18" s="18" t="str">
        <f>IFERROR(INDEX(Tarefas[ID],_xlfn.AGGREGATE(15,6,(ROW(Tarefas[ID])-ROW(INDEX(Tarefas[ID],1))+1)/(Tarefas[Status]=D$4),ROWS(D$6:D18)))&amp;" | "&amp;INDEX(Tarefas[Tarefa],_xlfn.AGGREGATE(15,6,(ROW(Tarefas[ID])-ROW(INDEX(Tarefas[ID],1))+1)/(Tarefas[Status]=D$4),ROWS(D$6:D18)))&amp;CHAR(10)&amp;INDEX(Tarefas[Prioridade],_xlfn.AGGREGATE(15,6,(ROW(Tarefas[ID])-ROW(INDEX(Tarefas[ID],1))+1)/(Tarefas[Status]=D$4),ROWS(D$6:D18)))&amp;" · "&amp;INDEX(Tarefas[Responsável],_xlfn.AGGREGATE(15,6,(ROW(Tarefas[ID])-ROW(INDEX(Tarefas[ID],1))+1)/(Tarefas[Status]=D$4),ROWS(D$6:D18)))&amp;CHAR(10)&amp;IF(INDEX(Tarefas[Prazo],_xlfn.AGGREGATE(15,6,(ROW(Tarefas[ID])-ROW(INDEX(Tarefas[ID],1))+1)/(Tarefas[Status]=D$4),ROWS(D$6:D18)))=0,"Sem prazo",TEXT(INDEX(Tarefas[Prazo],_xlfn.AGGREGATE(15,6,(ROW(Tarefas[ID])-ROW(INDEX(Tarefas[ID],1))+1)/(Tarefas[Status]=D$4),ROWS(D$6:D18))),"dd/mm/yyyy")),"")</f>
        <v/>
      </c>
      <c r="E18" s="18" t="str">
        <f>IFERROR(INDEX(Tarefas[ID],_xlfn.AGGREGATE(15,6,(ROW(Tarefas[ID])-ROW(INDEX(Tarefas[ID],1))+1)/(Tarefas[Status]=E$4),ROWS(E$6:E18)))&amp;" | "&amp;INDEX(Tarefas[Tarefa],_xlfn.AGGREGATE(15,6,(ROW(Tarefas[ID])-ROW(INDEX(Tarefas[ID],1))+1)/(Tarefas[Status]=E$4),ROWS(E$6:E18)))&amp;CHAR(10)&amp;INDEX(Tarefas[Prioridade],_xlfn.AGGREGATE(15,6,(ROW(Tarefas[ID])-ROW(INDEX(Tarefas[ID],1))+1)/(Tarefas[Status]=E$4),ROWS(E$6:E18)))&amp;" · "&amp;INDEX(Tarefas[Responsável],_xlfn.AGGREGATE(15,6,(ROW(Tarefas[ID])-ROW(INDEX(Tarefas[ID],1))+1)/(Tarefas[Status]=E$4),ROWS(E$6:E18)))&amp;CHAR(10)&amp;IF(INDEX(Tarefas[Prazo],_xlfn.AGGREGATE(15,6,(ROW(Tarefas[ID])-ROW(INDEX(Tarefas[ID],1))+1)/(Tarefas[Status]=E$4),ROWS(E$6:E18)))=0,"Sem prazo",TEXT(INDEX(Tarefas[Prazo],_xlfn.AGGREGATE(15,6,(ROW(Tarefas[ID])-ROW(INDEX(Tarefas[ID],1))+1)/(Tarefas[Status]=E$4),ROWS(E$6:E18))),"dd/mm/yyyy")),"")</f>
        <v>T36 | Corrigir confirmação da cópia de telefone
Média · Desenvolvimento
Sem prazo</v>
      </c>
      <c r="F18" s="18" t="str">
        <f>IFERROR(INDEX(Tarefas[ID],_xlfn.AGGREGATE(15,6,(ROW(Tarefas[ID])-ROW(INDEX(Tarefas[ID],1))+1)/(Tarefas[Status]=F$4),ROWS(F$6:F18)))&amp;" | "&amp;INDEX(Tarefas[Tarefa],_xlfn.AGGREGATE(15,6,(ROW(Tarefas[ID])-ROW(INDEX(Tarefas[ID],1))+1)/(Tarefas[Status]=F$4),ROWS(F$6:F18)))&amp;CHAR(10)&amp;INDEX(Tarefas[Prioridade],_xlfn.AGGREGATE(15,6,(ROW(Tarefas[ID])-ROW(INDEX(Tarefas[ID],1))+1)/(Tarefas[Status]=F$4),ROWS(F$6:F18)))&amp;" · "&amp;INDEX(Tarefas[Responsável],_xlfn.AGGREGATE(15,6,(ROW(Tarefas[ID])-ROW(INDEX(Tarefas[ID],1))+1)/(Tarefas[Status]=F$4),ROWS(F$6:F18)))&amp;CHAR(10)&amp;IF(INDEX(Tarefas[Prazo],_xlfn.AGGREGATE(15,6,(ROW(Tarefas[ID])-ROW(INDEX(Tarefas[ID],1))+1)/(Tarefas[Status]=F$4),ROWS(F$6:F18)))=0,"Sem prazo",TEXT(INDEX(Tarefas[Prazo],_xlfn.AGGREGATE(15,6,(ROW(Tarefas[ID])-ROW(INDEX(Tarefas[ID],1))+1)/(Tarefas[Status]=F$4),ROWS(F$6:F18))),"dd/mm/yyyy")),"")</f>
        <v/>
      </c>
    </row>
    <row r="19" spans="1:6" ht="93.95" customHeight="1" x14ac:dyDescent="0.25">
      <c r="A19" s="19" t="str">
        <f>IFERROR(INDEX(Tarefas[ID],_xlfn.AGGREGATE(15,6,(ROW(Tarefas[ID])-ROW(INDEX(Tarefas[ID],1))+1)/(Tarefas[Status]=A$4),ROWS(A$6:A19)))&amp;" | "&amp;INDEX(Tarefas[Tarefa],_xlfn.AGGREGATE(15,6,(ROW(Tarefas[ID])-ROW(INDEX(Tarefas[ID],1))+1)/(Tarefas[Status]=A$4),ROWS(A$6:A19)))&amp;CHAR(10)&amp;INDEX(Tarefas[Prioridade],_xlfn.AGGREGATE(15,6,(ROW(Tarefas[ID])-ROW(INDEX(Tarefas[ID],1))+1)/(Tarefas[Status]=A$4),ROWS(A$6:A19)))&amp;" · "&amp;INDEX(Tarefas[Responsável],_xlfn.AGGREGATE(15,6,(ROW(Tarefas[ID])-ROW(INDEX(Tarefas[ID],1))+1)/(Tarefas[Status]=A$4),ROWS(A$6:A19)))&amp;CHAR(10)&amp;IF(INDEX(Tarefas[Prazo],_xlfn.AGGREGATE(15,6,(ROW(Tarefas[ID])-ROW(INDEX(Tarefas[ID],1))+1)/(Tarefas[Status]=A$4),ROWS(A$6:A19)))=0,"Sem prazo",TEXT(INDEX(Tarefas[Prazo],_xlfn.AGGREGATE(15,6,(ROW(Tarefas[ID])-ROW(INDEX(Tarefas[ID],1))+1)/(Tarefas[Status]=A$4),ROWS(A$6:A19))),"dd/mm/yyyy")),"")</f>
        <v/>
      </c>
      <c r="B19" s="19" t="str">
        <f>IFERROR(INDEX(Tarefas[ID],_xlfn.AGGREGATE(15,6,(ROW(Tarefas[ID])-ROW(INDEX(Tarefas[ID],1))+1)/(Tarefas[Status]=B$4),ROWS(B$6:B19)))&amp;" | "&amp;INDEX(Tarefas[Tarefa],_xlfn.AGGREGATE(15,6,(ROW(Tarefas[ID])-ROW(INDEX(Tarefas[ID],1))+1)/(Tarefas[Status]=B$4),ROWS(B$6:B19)))&amp;CHAR(10)&amp;INDEX(Tarefas[Prioridade],_xlfn.AGGREGATE(15,6,(ROW(Tarefas[ID])-ROW(INDEX(Tarefas[ID],1))+1)/(Tarefas[Status]=B$4),ROWS(B$6:B19)))&amp;" · "&amp;INDEX(Tarefas[Responsável],_xlfn.AGGREGATE(15,6,(ROW(Tarefas[ID])-ROW(INDEX(Tarefas[ID],1))+1)/(Tarefas[Status]=B$4),ROWS(B$6:B19)))&amp;CHAR(10)&amp;IF(INDEX(Tarefas[Prazo],_xlfn.AGGREGATE(15,6,(ROW(Tarefas[ID])-ROW(INDEX(Tarefas[ID],1))+1)/(Tarefas[Status]=B$4),ROWS(B$6:B19)))=0,"Sem prazo",TEXT(INDEX(Tarefas[Prazo],_xlfn.AGGREGATE(15,6,(ROW(Tarefas[ID])-ROW(INDEX(Tarefas[ID],1))+1)/(Tarefas[Status]=B$4),ROWS(B$6:B19))),"dd/mm/yyyy")),"")</f>
        <v/>
      </c>
      <c r="C19" s="19" t="str">
        <f>IFERROR(INDEX(Tarefas[ID],_xlfn.AGGREGATE(15,6,(ROW(Tarefas[ID])-ROW(INDEX(Tarefas[ID],1))+1)/(Tarefas[Status]=C$4),ROWS(C$6:C19)))&amp;" | "&amp;INDEX(Tarefas[Tarefa],_xlfn.AGGREGATE(15,6,(ROW(Tarefas[ID])-ROW(INDEX(Tarefas[ID],1))+1)/(Tarefas[Status]=C$4),ROWS(C$6:C19)))&amp;CHAR(10)&amp;INDEX(Tarefas[Prioridade],_xlfn.AGGREGATE(15,6,(ROW(Tarefas[ID])-ROW(INDEX(Tarefas[ID],1))+1)/(Tarefas[Status]=C$4),ROWS(C$6:C19)))&amp;" · "&amp;INDEX(Tarefas[Responsável],_xlfn.AGGREGATE(15,6,(ROW(Tarefas[ID])-ROW(INDEX(Tarefas[ID],1))+1)/(Tarefas[Status]=C$4),ROWS(C$6:C19)))&amp;CHAR(10)&amp;IF(INDEX(Tarefas[Prazo],_xlfn.AGGREGATE(15,6,(ROW(Tarefas[ID])-ROW(INDEX(Tarefas[ID],1))+1)/(Tarefas[Status]=C$4),ROWS(C$6:C19)))=0,"Sem prazo",TEXT(INDEX(Tarefas[Prazo],_xlfn.AGGREGATE(15,6,(ROW(Tarefas[ID])-ROW(INDEX(Tarefas[ID],1))+1)/(Tarefas[Status]=C$4),ROWS(C$6:C19))),"dd/mm/yyyy")),"")</f>
        <v/>
      </c>
      <c r="D19" s="19" t="str">
        <f>IFERROR(INDEX(Tarefas[ID],_xlfn.AGGREGATE(15,6,(ROW(Tarefas[ID])-ROW(INDEX(Tarefas[ID],1))+1)/(Tarefas[Status]=D$4),ROWS(D$6:D19)))&amp;" | "&amp;INDEX(Tarefas[Tarefa],_xlfn.AGGREGATE(15,6,(ROW(Tarefas[ID])-ROW(INDEX(Tarefas[ID],1))+1)/(Tarefas[Status]=D$4),ROWS(D$6:D19)))&amp;CHAR(10)&amp;INDEX(Tarefas[Prioridade],_xlfn.AGGREGATE(15,6,(ROW(Tarefas[ID])-ROW(INDEX(Tarefas[ID],1))+1)/(Tarefas[Status]=D$4),ROWS(D$6:D19)))&amp;" · "&amp;INDEX(Tarefas[Responsável],_xlfn.AGGREGATE(15,6,(ROW(Tarefas[ID])-ROW(INDEX(Tarefas[ID],1))+1)/(Tarefas[Status]=D$4),ROWS(D$6:D19)))&amp;CHAR(10)&amp;IF(INDEX(Tarefas[Prazo],_xlfn.AGGREGATE(15,6,(ROW(Tarefas[ID])-ROW(INDEX(Tarefas[ID],1))+1)/(Tarefas[Status]=D$4),ROWS(D$6:D19)))=0,"Sem prazo",TEXT(INDEX(Tarefas[Prazo],_xlfn.AGGREGATE(15,6,(ROW(Tarefas[ID])-ROW(INDEX(Tarefas[ID],1))+1)/(Tarefas[Status]=D$4),ROWS(D$6:D19))),"dd/mm/yyyy")),"")</f>
        <v/>
      </c>
      <c r="E19" s="19" t="str">
        <f>IFERROR(INDEX(Tarefas[ID],_xlfn.AGGREGATE(15,6,(ROW(Tarefas[ID])-ROW(INDEX(Tarefas[ID],1))+1)/(Tarefas[Status]=E$4),ROWS(E$6:E19)))&amp;" | "&amp;INDEX(Tarefas[Tarefa],_xlfn.AGGREGATE(15,6,(ROW(Tarefas[ID])-ROW(INDEX(Tarefas[ID],1))+1)/(Tarefas[Status]=E$4),ROWS(E$6:E19)))&amp;CHAR(10)&amp;INDEX(Tarefas[Prioridade],_xlfn.AGGREGATE(15,6,(ROW(Tarefas[ID])-ROW(INDEX(Tarefas[ID],1))+1)/(Tarefas[Status]=E$4),ROWS(E$6:E19)))&amp;" · "&amp;INDEX(Tarefas[Responsável],_xlfn.AGGREGATE(15,6,(ROW(Tarefas[ID])-ROW(INDEX(Tarefas[ID],1))+1)/(Tarefas[Status]=E$4),ROWS(E$6:E19)))&amp;CHAR(10)&amp;IF(INDEX(Tarefas[Prazo],_xlfn.AGGREGATE(15,6,(ROW(Tarefas[ID])-ROW(INDEX(Tarefas[ID],1))+1)/(Tarefas[Status]=E$4),ROWS(E$6:E19)))=0,"Sem prazo",TEXT(INDEX(Tarefas[Prazo],_xlfn.AGGREGATE(15,6,(ROW(Tarefas[ID])-ROW(INDEX(Tarefas[ID],1))+1)/(Tarefas[Status]=E$4),ROWS(E$6:E19))),"dd/mm/yyyy")),"")</f>
        <v>T37 | Executar auditoria e testes locais
Média · Codex
Sem prazo</v>
      </c>
      <c r="F19" s="19" t="str">
        <f>IFERROR(INDEX(Tarefas[ID],_xlfn.AGGREGATE(15,6,(ROW(Tarefas[ID])-ROW(INDEX(Tarefas[ID],1))+1)/(Tarefas[Status]=F$4),ROWS(F$6:F19)))&amp;" | "&amp;INDEX(Tarefas[Tarefa],_xlfn.AGGREGATE(15,6,(ROW(Tarefas[ID])-ROW(INDEX(Tarefas[ID],1))+1)/(Tarefas[Status]=F$4),ROWS(F$6:F19)))&amp;CHAR(10)&amp;INDEX(Tarefas[Prioridade],_xlfn.AGGREGATE(15,6,(ROW(Tarefas[ID])-ROW(INDEX(Tarefas[ID],1))+1)/(Tarefas[Status]=F$4),ROWS(F$6:F19)))&amp;" · "&amp;INDEX(Tarefas[Responsável],_xlfn.AGGREGATE(15,6,(ROW(Tarefas[ID])-ROW(INDEX(Tarefas[ID],1))+1)/(Tarefas[Status]=F$4),ROWS(F$6:F19)))&amp;CHAR(10)&amp;IF(INDEX(Tarefas[Prazo],_xlfn.AGGREGATE(15,6,(ROW(Tarefas[ID])-ROW(INDEX(Tarefas[ID],1))+1)/(Tarefas[Status]=F$4),ROWS(F$6:F19)))=0,"Sem prazo",TEXT(INDEX(Tarefas[Prazo],_xlfn.AGGREGATE(15,6,(ROW(Tarefas[ID])-ROW(INDEX(Tarefas[ID],1))+1)/(Tarefas[Status]=F$4),ROWS(F$6:F19))),"dd/mm/yyyy")),"")</f>
        <v/>
      </c>
    </row>
    <row r="20" spans="1:6" ht="93.95" customHeight="1" x14ac:dyDescent="0.25">
      <c r="A20" s="18" t="str">
        <f>IFERROR(INDEX(Tarefas[ID],_xlfn.AGGREGATE(15,6,(ROW(Tarefas[ID])-ROW(INDEX(Tarefas[ID],1))+1)/(Tarefas[Status]=A$4),ROWS(A$6:A20)))&amp;" | "&amp;INDEX(Tarefas[Tarefa],_xlfn.AGGREGATE(15,6,(ROW(Tarefas[ID])-ROW(INDEX(Tarefas[ID],1))+1)/(Tarefas[Status]=A$4),ROWS(A$6:A20)))&amp;CHAR(10)&amp;INDEX(Tarefas[Prioridade],_xlfn.AGGREGATE(15,6,(ROW(Tarefas[ID])-ROW(INDEX(Tarefas[ID],1))+1)/(Tarefas[Status]=A$4),ROWS(A$6:A20)))&amp;" · "&amp;INDEX(Tarefas[Responsável],_xlfn.AGGREGATE(15,6,(ROW(Tarefas[ID])-ROW(INDEX(Tarefas[ID],1))+1)/(Tarefas[Status]=A$4),ROWS(A$6:A20)))&amp;CHAR(10)&amp;IF(INDEX(Tarefas[Prazo],_xlfn.AGGREGATE(15,6,(ROW(Tarefas[ID])-ROW(INDEX(Tarefas[ID],1))+1)/(Tarefas[Status]=A$4),ROWS(A$6:A20)))=0,"Sem prazo",TEXT(INDEX(Tarefas[Prazo],_xlfn.AGGREGATE(15,6,(ROW(Tarefas[ID])-ROW(INDEX(Tarefas[ID],1))+1)/(Tarefas[Status]=A$4),ROWS(A$6:A20))),"dd/mm/yyyy")),"")</f>
        <v/>
      </c>
      <c r="B20" s="18" t="str">
        <f>IFERROR(INDEX(Tarefas[ID],_xlfn.AGGREGATE(15,6,(ROW(Tarefas[ID])-ROW(INDEX(Tarefas[ID],1))+1)/(Tarefas[Status]=B$4),ROWS(B$6:B20)))&amp;" | "&amp;INDEX(Tarefas[Tarefa],_xlfn.AGGREGATE(15,6,(ROW(Tarefas[ID])-ROW(INDEX(Tarefas[ID],1))+1)/(Tarefas[Status]=B$4),ROWS(B$6:B20)))&amp;CHAR(10)&amp;INDEX(Tarefas[Prioridade],_xlfn.AGGREGATE(15,6,(ROW(Tarefas[ID])-ROW(INDEX(Tarefas[ID],1))+1)/(Tarefas[Status]=B$4),ROWS(B$6:B20)))&amp;" · "&amp;INDEX(Tarefas[Responsável],_xlfn.AGGREGATE(15,6,(ROW(Tarefas[ID])-ROW(INDEX(Tarefas[ID],1))+1)/(Tarefas[Status]=B$4),ROWS(B$6:B20)))&amp;CHAR(10)&amp;IF(INDEX(Tarefas[Prazo],_xlfn.AGGREGATE(15,6,(ROW(Tarefas[ID])-ROW(INDEX(Tarefas[ID],1))+1)/(Tarefas[Status]=B$4),ROWS(B$6:B20)))=0,"Sem prazo",TEXT(INDEX(Tarefas[Prazo],_xlfn.AGGREGATE(15,6,(ROW(Tarefas[ID])-ROW(INDEX(Tarefas[ID],1))+1)/(Tarefas[Status]=B$4),ROWS(B$6:B20))),"dd/mm/yyyy")),"")</f>
        <v/>
      </c>
      <c r="C20" s="18" t="str">
        <f>IFERROR(INDEX(Tarefas[ID],_xlfn.AGGREGATE(15,6,(ROW(Tarefas[ID])-ROW(INDEX(Tarefas[ID],1))+1)/(Tarefas[Status]=C$4),ROWS(C$6:C20)))&amp;" | "&amp;INDEX(Tarefas[Tarefa],_xlfn.AGGREGATE(15,6,(ROW(Tarefas[ID])-ROW(INDEX(Tarefas[ID],1))+1)/(Tarefas[Status]=C$4),ROWS(C$6:C20)))&amp;CHAR(10)&amp;INDEX(Tarefas[Prioridade],_xlfn.AGGREGATE(15,6,(ROW(Tarefas[ID])-ROW(INDEX(Tarefas[ID],1))+1)/(Tarefas[Status]=C$4),ROWS(C$6:C20)))&amp;" · "&amp;INDEX(Tarefas[Responsável],_xlfn.AGGREGATE(15,6,(ROW(Tarefas[ID])-ROW(INDEX(Tarefas[ID],1))+1)/(Tarefas[Status]=C$4),ROWS(C$6:C20)))&amp;CHAR(10)&amp;IF(INDEX(Tarefas[Prazo],_xlfn.AGGREGATE(15,6,(ROW(Tarefas[ID])-ROW(INDEX(Tarefas[ID],1))+1)/(Tarefas[Status]=C$4),ROWS(C$6:C20)))=0,"Sem prazo",TEXT(INDEX(Tarefas[Prazo],_xlfn.AGGREGATE(15,6,(ROW(Tarefas[ID])-ROW(INDEX(Tarefas[ID],1))+1)/(Tarefas[Status]=C$4),ROWS(C$6:C20))),"dd/mm/yyyy")),"")</f>
        <v/>
      </c>
      <c r="D20" s="18" t="str">
        <f>IFERROR(INDEX(Tarefas[ID],_xlfn.AGGREGATE(15,6,(ROW(Tarefas[ID])-ROW(INDEX(Tarefas[ID],1))+1)/(Tarefas[Status]=D$4),ROWS(D$6:D20)))&amp;" | "&amp;INDEX(Tarefas[Tarefa],_xlfn.AGGREGATE(15,6,(ROW(Tarefas[ID])-ROW(INDEX(Tarefas[ID],1))+1)/(Tarefas[Status]=D$4),ROWS(D$6:D20)))&amp;CHAR(10)&amp;INDEX(Tarefas[Prioridade],_xlfn.AGGREGATE(15,6,(ROW(Tarefas[ID])-ROW(INDEX(Tarefas[ID],1))+1)/(Tarefas[Status]=D$4),ROWS(D$6:D20)))&amp;" · "&amp;INDEX(Tarefas[Responsável],_xlfn.AGGREGATE(15,6,(ROW(Tarefas[ID])-ROW(INDEX(Tarefas[ID],1))+1)/(Tarefas[Status]=D$4),ROWS(D$6:D20)))&amp;CHAR(10)&amp;IF(INDEX(Tarefas[Prazo],_xlfn.AGGREGATE(15,6,(ROW(Tarefas[ID])-ROW(INDEX(Tarefas[ID],1))+1)/(Tarefas[Status]=D$4),ROWS(D$6:D20)))=0,"Sem prazo",TEXT(INDEX(Tarefas[Prazo],_xlfn.AGGREGATE(15,6,(ROW(Tarefas[ID])-ROW(INDEX(Tarefas[ID],1))+1)/(Tarefas[Status]=D$4),ROWS(D$6:D20))),"dd/mm/yyyy")),"")</f>
        <v/>
      </c>
      <c r="E20" s="18" t="str">
        <f>IFERROR(INDEX(Tarefas[ID],_xlfn.AGGREGATE(15,6,(ROW(Tarefas[ID])-ROW(INDEX(Tarefas[ID],1))+1)/(Tarefas[Status]=E$4),ROWS(E$6:E20)))&amp;" | "&amp;INDEX(Tarefas[Tarefa],_xlfn.AGGREGATE(15,6,(ROW(Tarefas[ID])-ROW(INDEX(Tarefas[ID],1))+1)/(Tarefas[Status]=E$4),ROWS(E$6:E20)))&amp;CHAR(10)&amp;INDEX(Tarefas[Prioridade],_xlfn.AGGREGATE(15,6,(ROW(Tarefas[ID])-ROW(INDEX(Tarefas[ID],1))+1)/(Tarefas[Status]=E$4),ROWS(E$6:E20)))&amp;" · "&amp;INDEX(Tarefas[Responsável],_xlfn.AGGREGATE(15,6,(ROW(Tarefas[ID])-ROW(INDEX(Tarefas[ID],1))+1)/(Tarefas[Status]=E$4),ROWS(E$6:E20)))&amp;CHAR(10)&amp;IF(INDEX(Tarefas[Prazo],_xlfn.AGGREGATE(15,6,(ROW(Tarefas[ID])-ROW(INDEX(Tarefas[ID],1))+1)/(Tarefas[Status]=E$4),ROWS(E$6:E20)))=0,"Sem prazo",TEXT(INDEX(Tarefas[Prazo],_xlfn.AGGREGATE(15,6,(ROW(Tarefas[ID])-ROW(INDEX(Tarefas[ID],1))+1)/(Tarefas[Status]=E$4),ROWS(E$6:E20))),"dd/mm/yyyy")),"")</f>
        <v>T38 | Verificar backup periódico atual
Média · Desenvolvimento
Sem prazo</v>
      </c>
      <c r="F20" s="18" t="str">
        <f>IFERROR(INDEX(Tarefas[ID],_xlfn.AGGREGATE(15,6,(ROW(Tarefas[ID])-ROW(INDEX(Tarefas[ID],1))+1)/(Tarefas[Status]=F$4),ROWS(F$6:F20)))&amp;" | "&amp;INDEX(Tarefas[Tarefa],_xlfn.AGGREGATE(15,6,(ROW(Tarefas[ID])-ROW(INDEX(Tarefas[ID],1))+1)/(Tarefas[Status]=F$4),ROWS(F$6:F20)))&amp;CHAR(10)&amp;INDEX(Tarefas[Prioridade],_xlfn.AGGREGATE(15,6,(ROW(Tarefas[ID])-ROW(INDEX(Tarefas[ID],1))+1)/(Tarefas[Status]=F$4),ROWS(F$6:F20)))&amp;" · "&amp;INDEX(Tarefas[Responsável],_xlfn.AGGREGATE(15,6,(ROW(Tarefas[ID])-ROW(INDEX(Tarefas[ID],1))+1)/(Tarefas[Status]=F$4),ROWS(F$6:F20)))&amp;CHAR(10)&amp;IF(INDEX(Tarefas[Prazo],_xlfn.AGGREGATE(15,6,(ROW(Tarefas[ID])-ROW(INDEX(Tarefas[ID],1))+1)/(Tarefas[Status]=F$4),ROWS(F$6:F20)))=0,"Sem prazo",TEXT(INDEX(Tarefas[Prazo],_xlfn.AGGREGATE(15,6,(ROW(Tarefas[ID])-ROW(INDEX(Tarefas[ID],1))+1)/(Tarefas[Status]=F$4),ROWS(F$6:F20))),"dd/mm/yyyy")),"")</f>
        <v/>
      </c>
    </row>
    <row r="21" spans="1:6" ht="93.95" customHeight="1" x14ac:dyDescent="0.25">
      <c r="A21" s="19" t="str">
        <f>IFERROR(INDEX(Tarefas[ID],_xlfn.AGGREGATE(15,6,(ROW(Tarefas[ID])-ROW(INDEX(Tarefas[ID],1))+1)/(Tarefas[Status]=A$4),ROWS(A$6:A21)))&amp;" | "&amp;INDEX(Tarefas[Tarefa],_xlfn.AGGREGATE(15,6,(ROW(Tarefas[ID])-ROW(INDEX(Tarefas[ID],1))+1)/(Tarefas[Status]=A$4),ROWS(A$6:A21)))&amp;CHAR(10)&amp;INDEX(Tarefas[Prioridade],_xlfn.AGGREGATE(15,6,(ROW(Tarefas[ID])-ROW(INDEX(Tarefas[ID],1))+1)/(Tarefas[Status]=A$4),ROWS(A$6:A21)))&amp;" · "&amp;INDEX(Tarefas[Responsável],_xlfn.AGGREGATE(15,6,(ROW(Tarefas[ID])-ROW(INDEX(Tarefas[ID],1))+1)/(Tarefas[Status]=A$4),ROWS(A$6:A21)))&amp;CHAR(10)&amp;IF(INDEX(Tarefas[Prazo],_xlfn.AGGREGATE(15,6,(ROW(Tarefas[ID])-ROW(INDEX(Tarefas[ID],1))+1)/(Tarefas[Status]=A$4),ROWS(A$6:A21)))=0,"Sem prazo",TEXT(INDEX(Tarefas[Prazo],_xlfn.AGGREGATE(15,6,(ROW(Tarefas[ID])-ROW(INDEX(Tarefas[ID],1))+1)/(Tarefas[Status]=A$4),ROWS(A$6:A21))),"dd/mm/yyyy")),"")</f>
        <v/>
      </c>
      <c r="B21" s="19" t="str">
        <f>IFERROR(INDEX(Tarefas[ID],_xlfn.AGGREGATE(15,6,(ROW(Tarefas[ID])-ROW(INDEX(Tarefas[ID],1))+1)/(Tarefas[Status]=B$4),ROWS(B$6:B21)))&amp;" | "&amp;INDEX(Tarefas[Tarefa],_xlfn.AGGREGATE(15,6,(ROW(Tarefas[ID])-ROW(INDEX(Tarefas[ID],1))+1)/(Tarefas[Status]=B$4),ROWS(B$6:B21)))&amp;CHAR(10)&amp;INDEX(Tarefas[Prioridade],_xlfn.AGGREGATE(15,6,(ROW(Tarefas[ID])-ROW(INDEX(Tarefas[ID],1))+1)/(Tarefas[Status]=B$4),ROWS(B$6:B21)))&amp;" · "&amp;INDEX(Tarefas[Responsável],_xlfn.AGGREGATE(15,6,(ROW(Tarefas[ID])-ROW(INDEX(Tarefas[ID],1))+1)/(Tarefas[Status]=B$4),ROWS(B$6:B21)))&amp;CHAR(10)&amp;IF(INDEX(Tarefas[Prazo],_xlfn.AGGREGATE(15,6,(ROW(Tarefas[ID])-ROW(INDEX(Tarefas[ID],1))+1)/(Tarefas[Status]=B$4),ROWS(B$6:B21)))=0,"Sem prazo",TEXT(INDEX(Tarefas[Prazo],_xlfn.AGGREGATE(15,6,(ROW(Tarefas[ID])-ROW(INDEX(Tarefas[ID],1))+1)/(Tarefas[Status]=B$4),ROWS(B$6:B21))),"dd/mm/yyyy")),"")</f>
        <v/>
      </c>
      <c r="C21" s="19" t="str">
        <f>IFERROR(INDEX(Tarefas[ID],_xlfn.AGGREGATE(15,6,(ROW(Tarefas[ID])-ROW(INDEX(Tarefas[ID],1))+1)/(Tarefas[Status]=C$4),ROWS(C$6:C21)))&amp;" | "&amp;INDEX(Tarefas[Tarefa],_xlfn.AGGREGATE(15,6,(ROW(Tarefas[ID])-ROW(INDEX(Tarefas[ID],1))+1)/(Tarefas[Status]=C$4),ROWS(C$6:C21)))&amp;CHAR(10)&amp;INDEX(Tarefas[Prioridade],_xlfn.AGGREGATE(15,6,(ROW(Tarefas[ID])-ROW(INDEX(Tarefas[ID],1))+1)/(Tarefas[Status]=C$4),ROWS(C$6:C21)))&amp;" · "&amp;INDEX(Tarefas[Responsável],_xlfn.AGGREGATE(15,6,(ROW(Tarefas[ID])-ROW(INDEX(Tarefas[ID],1))+1)/(Tarefas[Status]=C$4),ROWS(C$6:C21)))&amp;CHAR(10)&amp;IF(INDEX(Tarefas[Prazo],_xlfn.AGGREGATE(15,6,(ROW(Tarefas[ID])-ROW(INDEX(Tarefas[ID],1))+1)/(Tarefas[Status]=C$4),ROWS(C$6:C21)))=0,"Sem prazo",TEXT(INDEX(Tarefas[Prazo],_xlfn.AGGREGATE(15,6,(ROW(Tarefas[ID])-ROW(INDEX(Tarefas[ID],1))+1)/(Tarefas[Status]=C$4),ROWS(C$6:C21))),"dd/mm/yyyy")),"")</f>
        <v/>
      </c>
      <c r="D21" s="19" t="str">
        <f>IFERROR(INDEX(Tarefas[ID],_xlfn.AGGREGATE(15,6,(ROW(Tarefas[ID])-ROW(INDEX(Tarefas[ID],1))+1)/(Tarefas[Status]=D$4),ROWS(D$6:D21)))&amp;" | "&amp;INDEX(Tarefas[Tarefa],_xlfn.AGGREGATE(15,6,(ROW(Tarefas[ID])-ROW(INDEX(Tarefas[ID],1))+1)/(Tarefas[Status]=D$4),ROWS(D$6:D21)))&amp;CHAR(10)&amp;INDEX(Tarefas[Prioridade],_xlfn.AGGREGATE(15,6,(ROW(Tarefas[ID])-ROW(INDEX(Tarefas[ID],1))+1)/(Tarefas[Status]=D$4),ROWS(D$6:D21)))&amp;" · "&amp;INDEX(Tarefas[Responsável],_xlfn.AGGREGATE(15,6,(ROW(Tarefas[ID])-ROW(INDEX(Tarefas[ID],1))+1)/(Tarefas[Status]=D$4),ROWS(D$6:D21)))&amp;CHAR(10)&amp;IF(INDEX(Tarefas[Prazo],_xlfn.AGGREGATE(15,6,(ROW(Tarefas[ID])-ROW(INDEX(Tarefas[ID],1))+1)/(Tarefas[Status]=D$4),ROWS(D$6:D21)))=0,"Sem prazo",TEXT(INDEX(Tarefas[Prazo],_xlfn.AGGREGATE(15,6,(ROW(Tarefas[ID])-ROW(INDEX(Tarefas[ID],1))+1)/(Tarefas[Status]=D$4),ROWS(D$6:D21))),"dd/mm/yyyy")),"")</f>
        <v/>
      </c>
      <c r="E21" s="19" t="str">
        <f>IFERROR(INDEX(Tarefas[ID],_xlfn.AGGREGATE(15,6,(ROW(Tarefas[ID])-ROW(INDEX(Tarefas[ID],1))+1)/(Tarefas[Status]=E$4),ROWS(E$6:E21)))&amp;" | "&amp;INDEX(Tarefas[Tarefa],_xlfn.AGGREGATE(15,6,(ROW(Tarefas[ID])-ROW(INDEX(Tarefas[ID],1))+1)/(Tarefas[Status]=E$4),ROWS(E$6:E21)))&amp;CHAR(10)&amp;INDEX(Tarefas[Prioridade],_xlfn.AGGREGATE(15,6,(ROW(Tarefas[ID])-ROW(INDEX(Tarefas[ID],1))+1)/(Tarefas[Status]=E$4),ROWS(E$6:E21)))&amp;" · "&amp;INDEX(Tarefas[Responsável],_xlfn.AGGREGATE(15,6,(ROW(Tarefas[ID])-ROW(INDEX(Tarefas[ID],1))+1)/(Tarefas[Status]=E$4),ROWS(E$6:E21)))&amp;CHAR(10)&amp;IF(INDEX(Tarefas[Prazo],_xlfn.AGGREGATE(15,6,(ROW(Tarefas[ID])-ROW(INDEX(Tarefas[ID],1))+1)/(Tarefas[Status]=E$4),ROWS(E$6:E21)))=0,"Sem prazo",TEXT(INDEX(Tarefas[Prazo],_xlfn.AGGREGATE(15,6,(ROW(Tarefas[ID])-ROW(INDEX(Tarefas[ID],1))+1)/(Tarefas[Status]=E$4),ROWS(E$6:E21))),"dd/mm/yyyy")),"")</f>
        <v/>
      </c>
      <c r="F21" s="19" t="str">
        <f>IFERROR(INDEX(Tarefas[ID],_xlfn.AGGREGATE(15,6,(ROW(Tarefas[ID])-ROW(INDEX(Tarefas[ID],1))+1)/(Tarefas[Status]=F$4),ROWS(F$6:F21)))&amp;" | "&amp;INDEX(Tarefas[Tarefa],_xlfn.AGGREGATE(15,6,(ROW(Tarefas[ID])-ROW(INDEX(Tarefas[ID],1))+1)/(Tarefas[Status]=F$4),ROWS(F$6:F21)))&amp;CHAR(10)&amp;INDEX(Tarefas[Prioridade],_xlfn.AGGREGATE(15,6,(ROW(Tarefas[ID])-ROW(INDEX(Tarefas[ID],1))+1)/(Tarefas[Status]=F$4),ROWS(F$6:F21)))&amp;" · "&amp;INDEX(Tarefas[Responsável],_xlfn.AGGREGATE(15,6,(ROW(Tarefas[ID])-ROW(INDEX(Tarefas[ID],1))+1)/(Tarefas[Status]=F$4),ROWS(F$6:F21)))&amp;CHAR(10)&amp;IF(INDEX(Tarefas[Prazo],_xlfn.AGGREGATE(15,6,(ROW(Tarefas[ID])-ROW(INDEX(Tarefas[ID],1))+1)/(Tarefas[Status]=F$4),ROWS(F$6:F21)))=0,"Sem prazo",TEXT(INDEX(Tarefas[Prazo],_xlfn.AGGREGATE(15,6,(ROW(Tarefas[ID])-ROW(INDEX(Tarefas[ID],1))+1)/(Tarefas[Status]=F$4),ROWS(F$6:F21))),"dd/mm/yyyy")),"")</f>
        <v/>
      </c>
    </row>
    <row r="22" spans="1:6" ht="93.95" customHeight="1" x14ac:dyDescent="0.25">
      <c r="A22" s="18" t="str">
        <f>IFERROR(INDEX(Tarefas[ID],_xlfn.AGGREGATE(15,6,(ROW(Tarefas[ID])-ROW(INDEX(Tarefas[ID],1))+1)/(Tarefas[Status]=A$4),ROWS(A$6:A22)))&amp;" | "&amp;INDEX(Tarefas[Tarefa],_xlfn.AGGREGATE(15,6,(ROW(Tarefas[ID])-ROW(INDEX(Tarefas[ID],1))+1)/(Tarefas[Status]=A$4),ROWS(A$6:A22)))&amp;CHAR(10)&amp;INDEX(Tarefas[Prioridade],_xlfn.AGGREGATE(15,6,(ROW(Tarefas[ID])-ROW(INDEX(Tarefas[ID],1))+1)/(Tarefas[Status]=A$4),ROWS(A$6:A22)))&amp;" · "&amp;INDEX(Tarefas[Responsável],_xlfn.AGGREGATE(15,6,(ROW(Tarefas[ID])-ROW(INDEX(Tarefas[ID],1))+1)/(Tarefas[Status]=A$4),ROWS(A$6:A22)))&amp;CHAR(10)&amp;IF(INDEX(Tarefas[Prazo],_xlfn.AGGREGATE(15,6,(ROW(Tarefas[ID])-ROW(INDEX(Tarefas[ID],1))+1)/(Tarefas[Status]=A$4),ROWS(A$6:A22)))=0,"Sem prazo",TEXT(INDEX(Tarefas[Prazo],_xlfn.AGGREGATE(15,6,(ROW(Tarefas[ID])-ROW(INDEX(Tarefas[ID],1))+1)/(Tarefas[Status]=A$4),ROWS(A$6:A22))),"dd/mm/yyyy")),"")</f>
        <v/>
      </c>
      <c r="B22" s="18" t="str">
        <f>IFERROR(INDEX(Tarefas[ID],_xlfn.AGGREGATE(15,6,(ROW(Tarefas[ID])-ROW(INDEX(Tarefas[ID],1))+1)/(Tarefas[Status]=B$4),ROWS(B$6:B22)))&amp;" | "&amp;INDEX(Tarefas[Tarefa],_xlfn.AGGREGATE(15,6,(ROW(Tarefas[ID])-ROW(INDEX(Tarefas[ID],1))+1)/(Tarefas[Status]=B$4),ROWS(B$6:B22)))&amp;CHAR(10)&amp;INDEX(Tarefas[Prioridade],_xlfn.AGGREGATE(15,6,(ROW(Tarefas[ID])-ROW(INDEX(Tarefas[ID],1))+1)/(Tarefas[Status]=B$4),ROWS(B$6:B22)))&amp;" · "&amp;INDEX(Tarefas[Responsável],_xlfn.AGGREGATE(15,6,(ROW(Tarefas[ID])-ROW(INDEX(Tarefas[ID],1))+1)/(Tarefas[Status]=B$4),ROWS(B$6:B22)))&amp;CHAR(10)&amp;IF(INDEX(Tarefas[Prazo],_xlfn.AGGREGATE(15,6,(ROW(Tarefas[ID])-ROW(INDEX(Tarefas[ID],1))+1)/(Tarefas[Status]=B$4),ROWS(B$6:B22)))=0,"Sem prazo",TEXT(INDEX(Tarefas[Prazo],_xlfn.AGGREGATE(15,6,(ROW(Tarefas[ID])-ROW(INDEX(Tarefas[ID],1))+1)/(Tarefas[Status]=B$4),ROWS(B$6:B22))),"dd/mm/yyyy")),"")</f>
        <v/>
      </c>
      <c r="C22" s="18" t="str">
        <f>IFERROR(INDEX(Tarefas[ID],_xlfn.AGGREGATE(15,6,(ROW(Tarefas[ID])-ROW(INDEX(Tarefas[ID],1))+1)/(Tarefas[Status]=C$4),ROWS(C$6:C22)))&amp;" | "&amp;INDEX(Tarefas[Tarefa],_xlfn.AGGREGATE(15,6,(ROW(Tarefas[ID])-ROW(INDEX(Tarefas[ID],1))+1)/(Tarefas[Status]=C$4),ROWS(C$6:C22)))&amp;CHAR(10)&amp;INDEX(Tarefas[Prioridade],_xlfn.AGGREGATE(15,6,(ROW(Tarefas[ID])-ROW(INDEX(Tarefas[ID],1))+1)/(Tarefas[Status]=C$4),ROWS(C$6:C22)))&amp;" · "&amp;INDEX(Tarefas[Responsável],_xlfn.AGGREGATE(15,6,(ROW(Tarefas[ID])-ROW(INDEX(Tarefas[ID],1))+1)/(Tarefas[Status]=C$4),ROWS(C$6:C22)))&amp;CHAR(10)&amp;IF(INDEX(Tarefas[Prazo],_xlfn.AGGREGATE(15,6,(ROW(Tarefas[ID])-ROW(INDEX(Tarefas[ID],1))+1)/(Tarefas[Status]=C$4),ROWS(C$6:C22)))=0,"Sem prazo",TEXT(INDEX(Tarefas[Prazo],_xlfn.AGGREGATE(15,6,(ROW(Tarefas[ID])-ROW(INDEX(Tarefas[ID],1))+1)/(Tarefas[Status]=C$4),ROWS(C$6:C22))),"dd/mm/yyyy")),"")</f>
        <v/>
      </c>
      <c r="D22" s="18" t="str">
        <f>IFERROR(INDEX(Tarefas[ID],_xlfn.AGGREGATE(15,6,(ROW(Tarefas[ID])-ROW(INDEX(Tarefas[ID],1))+1)/(Tarefas[Status]=D$4),ROWS(D$6:D22)))&amp;" | "&amp;INDEX(Tarefas[Tarefa],_xlfn.AGGREGATE(15,6,(ROW(Tarefas[ID])-ROW(INDEX(Tarefas[ID],1))+1)/(Tarefas[Status]=D$4),ROWS(D$6:D22)))&amp;CHAR(10)&amp;INDEX(Tarefas[Prioridade],_xlfn.AGGREGATE(15,6,(ROW(Tarefas[ID])-ROW(INDEX(Tarefas[ID],1))+1)/(Tarefas[Status]=D$4),ROWS(D$6:D22)))&amp;" · "&amp;INDEX(Tarefas[Responsável],_xlfn.AGGREGATE(15,6,(ROW(Tarefas[ID])-ROW(INDEX(Tarefas[ID],1))+1)/(Tarefas[Status]=D$4),ROWS(D$6:D22)))&amp;CHAR(10)&amp;IF(INDEX(Tarefas[Prazo],_xlfn.AGGREGATE(15,6,(ROW(Tarefas[ID])-ROW(INDEX(Tarefas[ID],1))+1)/(Tarefas[Status]=D$4),ROWS(D$6:D22)))=0,"Sem prazo",TEXT(INDEX(Tarefas[Prazo],_xlfn.AGGREGATE(15,6,(ROW(Tarefas[ID])-ROW(INDEX(Tarefas[ID],1))+1)/(Tarefas[Status]=D$4),ROWS(D$6:D22))),"dd/mm/yyyy")),"")</f>
        <v/>
      </c>
      <c r="E22" s="18" t="str">
        <f>IFERROR(INDEX(Tarefas[ID],_xlfn.AGGREGATE(15,6,(ROW(Tarefas[ID])-ROW(INDEX(Tarefas[ID],1))+1)/(Tarefas[Status]=E$4),ROWS(E$6:E22)))&amp;" | "&amp;INDEX(Tarefas[Tarefa],_xlfn.AGGREGATE(15,6,(ROW(Tarefas[ID])-ROW(INDEX(Tarefas[ID],1))+1)/(Tarefas[Status]=E$4),ROWS(E$6:E22)))&amp;CHAR(10)&amp;INDEX(Tarefas[Prioridade],_xlfn.AGGREGATE(15,6,(ROW(Tarefas[ID])-ROW(INDEX(Tarefas[ID],1))+1)/(Tarefas[Status]=E$4),ROWS(E$6:E22)))&amp;" · "&amp;INDEX(Tarefas[Responsável],_xlfn.AGGREGATE(15,6,(ROW(Tarefas[ID])-ROW(INDEX(Tarefas[ID],1))+1)/(Tarefas[Status]=E$4),ROWS(E$6:E22)))&amp;CHAR(10)&amp;IF(INDEX(Tarefas[Prazo],_xlfn.AGGREGATE(15,6,(ROW(Tarefas[ID])-ROW(INDEX(Tarefas[ID],1))+1)/(Tarefas[Status]=E$4),ROWS(E$6:E22)))=0,"Sem prazo",TEXT(INDEX(Tarefas[Prazo],_xlfn.AGGREGATE(15,6,(ROW(Tarefas[ID])-ROW(INDEX(Tarefas[ID],1))+1)/(Tarefas[Status]=E$4),ROWS(E$6:E22))),"dd/mm/yyyy")),"")</f>
        <v/>
      </c>
      <c r="F22" s="18" t="str">
        <f>IFERROR(INDEX(Tarefas[ID],_xlfn.AGGREGATE(15,6,(ROW(Tarefas[ID])-ROW(INDEX(Tarefas[ID],1))+1)/(Tarefas[Status]=F$4),ROWS(F$6:F22)))&amp;" | "&amp;INDEX(Tarefas[Tarefa],_xlfn.AGGREGATE(15,6,(ROW(Tarefas[ID])-ROW(INDEX(Tarefas[ID],1))+1)/(Tarefas[Status]=F$4),ROWS(F$6:F22)))&amp;CHAR(10)&amp;INDEX(Tarefas[Prioridade],_xlfn.AGGREGATE(15,6,(ROW(Tarefas[ID])-ROW(INDEX(Tarefas[ID],1))+1)/(Tarefas[Status]=F$4),ROWS(F$6:F22)))&amp;" · "&amp;INDEX(Tarefas[Responsável],_xlfn.AGGREGATE(15,6,(ROW(Tarefas[ID])-ROW(INDEX(Tarefas[ID],1))+1)/(Tarefas[Status]=F$4),ROWS(F$6:F22)))&amp;CHAR(10)&amp;IF(INDEX(Tarefas[Prazo],_xlfn.AGGREGATE(15,6,(ROW(Tarefas[ID])-ROW(INDEX(Tarefas[ID],1))+1)/(Tarefas[Status]=F$4),ROWS(F$6:F22)))=0,"Sem prazo",TEXT(INDEX(Tarefas[Prazo],_xlfn.AGGREGATE(15,6,(ROW(Tarefas[ID])-ROW(INDEX(Tarefas[ID],1))+1)/(Tarefas[Status]=F$4),ROWS(F$6:F22))),"dd/mm/yyyy")),"")</f>
        <v/>
      </c>
    </row>
    <row r="23" spans="1:6" ht="93.95" customHeight="1" x14ac:dyDescent="0.25">
      <c r="A23" s="19" t="str">
        <f>IFERROR(INDEX(Tarefas[ID],_xlfn.AGGREGATE(15,6,(ROW(Tarefas[ID])-ROW(INDEX(Tarefas[ID],1))+1)/(Tarefas[Status]=A$4),ROWS(A$6:A23)))&amp;" | "&amp;INDEX(Tarefas[Tarefa],_xlfn.AGGREGATE(15,6,(ROW(Tarefas[ID])-ROW(INDEX(Tarefas[ID],1))+1)/(Tarefas[Status]=A$4),ROWS(A$6:A23)))&amp;CHAR(10)&amp;INDEX(Tarefas[Prioridade],_xlfn.AGGREGATE(15,6,(ROW(Tarefas[ID])-ROW(INDEX(Tarefas[ID],1))+1)/(Tarefas[Status]=A$4),ROWS(A$6:A23)))&amp;" · "&amp;INDEX(Tarefas[Responsável],_xlfn.AGGREGATE(15,6,(ROW(Tarefas[ID])-ROW(INDEX(Tarefas[ID],1))+1)/(Tarefas[Status]=A$4),ROWS(A$6:A23)))&amp;CHAR(10)&amp;IF(INDEX(Tarefas[Prazo],_xlfn.AGGREGATE(15,6,(ROW(Tarefas[ID])-ROW(INDEX(Tarefas[ID],1))+1)/(Tarefas[Status]=A$4),ROWS(A$6:A23)))=0,"Sem prazo",TEXT(INDEX(Tarefas[Prazo],_xlfn.AGGREGATE(15,6,(ROW(Tarefas[ID])-ROW(INDEX(Tarefas[ID],1))+1)/(Tarefas[Status]=A$4),ROWS(A$6:A23))),"dd/mm/yyyy")),"")</f>
        <v/>
      </c>
      <c r="B23" s="19" t="str">
        <f>IFERROR(INDEX(Tarefas[ID],_xlfn.AGGREGATE(15,6,(ROW(Tarefas[ID])-ROW(INDEX(Tarefas[ID],1))+1)/(Tarefas[Status]=B$4),ROWS(B$6:B23)))&amp;" | "&amp;INDEX(Tarefas[Tarefa],_xlfn.AGGREGATE(15,6,(ROW(Tarefas[ID])-ROW(INDEX(Tarefas[ID],1))+1)/(Tarefas[Status]=B$4),ROWS(B$6:B23)))&amp;CHAR(10)&amp;INDEX(Tarefas[Prioridade],_xlfn.AGGREGATE(15,6,(ROW(Tarefas[ID])-ROW(INDEX(Tarefas[ID],1))+1)/(Tarefas[Status]=B$4),ROWS(B$6:B23)))&amp;" · "&amp;INDEX(Tarefas[Responsável],_xlfn.AGGREGATE(15,6,(ROW(Tarefas[ID])-ROW(INDEX(Tarefas[ID],1))+1)/(Tarefas[Status]=B$4),ROWS(B$6:B23)))&amp;CHAR(10)&amp;IF(INDEX(Tarefas[Prazo],_xlfn.AGGREGATE(15,6,(ROW(Tarefas[ID])-ROW(INDEX(Tarefas[ID],1))+1)/(Tarefas[Status]=B$4),ROWS(B$6:B23)))=0,"Sem prazo",TEXT(INDEX(Tarefas[Prazo],_xlfn.AGGREGATE(15,6,(ROW(Tarefas[ID])-ROW(INDEX(Tarefas[ID],1))+1)/(Tarefas[Status]=B$4),ROWS(B$6:B23))),"dd/mm/yyyy")),"")</f>
        <v/>
      </c>
      <c r="C23" s="19" t="str">
        <f>IFERROR(INDEX(Tarefas[ID],_xlfn.AGGREGATE(15,6,(ROW(Tarefas[ID])-ROW(INDEX(Tarefas[ID],1))+1)/(Tarefas[Status]=C$4),ROWS(C$6:C23)))&amp;" | "&amp;INDEX(Tarefas[Tarefa],_xlfn.AGGREGATE(15,6,(ROW(Tarefas[ID])-ROW(INDEX(Tarefas[ID],1))+1)/(Tarefas[Status]=C$4),ROWS(C$6:C23)))&amp;CHAR(10)&amp;INDEX(Tarefas[Prioridade],_xlfn.AGGREGATE(15,6,(ROW(Tarefas[ID])-ROW(INDEX(Tarefas[ID],1))+1)/(Tarefas[Status]=C$4),ROWS(C$6:C23)))&amp;" · "&amp;INDEX(Tarefas[Responsável],_xlfn.AGGREGATE(15,6,(ROW(Tarefas[ID])-ROW(INDEX(Tarefas[ID],1))+1)/(Tarefas[Status]=C$4),ROWS(C$6:C23)))&amp;CHAR(10)&amp;IF(INDEX(Tarefas[Prazo],_xlfn.AGGREGATE(15,6,(ROW(Tarefas[ID])-ROW(INDEX(Tarefas[ID],1))+1)/(Tarefas[Status]=C$4),ROWS(C$6:C23)))=0,"Sem prazo",TEXT(INDEX(Tarefas[Prazo],_xlfn.AGGREGATE(15,6,(ROW(Tarefas[ID])-ROW(INDEX(Tarefas[ID],1))+1)/(Tarefas[Status]=C$4),ROWS(C$6:C23))),"dd/mm/yyyy")),"")</f>
        <v/>
      </c>
      <c r="D23" s="19" t="str">
        <f>IFERROR(INDEX(Tarefas[ID],_xlfn.AGGREGATE(15,6,(ROW(Tarefas[ID])-ROW(INDEX(Tarefas[ID],1))+1)/(Tarefas[Status]=D$4),ROWS(D$6:D23)))&amp;" | "&amp;INDEX(Tarefas[Tarefa],_xlfn.AGGREGATE(15,6,(ROW(Tarefas[ID])-ROW(INDEX(Tarefas[ID],1))+1)/(Tarefas[Status]=D$4),ROWS(D$6:D23)))&amp;CHAR(10)&amp;INDEX(Tarefas[Prioridade],_xlfn.AGGREGATE(15,6,(ROW(Tarefas[ID])-ROW(INDEX(Tarefas[ID],1))+1)/(Tarefas[Status]=D$4),ROWS(D$6:D23)))&amp;" · "&amp;INDEX(Tarefas[Responsável],_xlfn.AGGREGATE(15,6,(ROW(Tarefas[ID])-ROW(INDEX(Tarefas[ID],1))+1)/(Tarefas[Status]=D$4),ROWS(D$6:D23)))&amp;CHAR(10)&amp;IF(INDEX(Tarefas[Prazo],_xlfn.AGGREGATE(15,6,(ROW(Tarefas[ID])-ROW(INDEX(Tarefas[ID],1))+1)/(Tarefas[Status]=D$4),ROWS(D$6:D23)))=0,"Sem prazo",TEXT(INDEX(Tarefas[Prazo],_xlfn.AGGREGATE(15,6,(ROW(Tarefas[ID])-ROW(INDEX(Tarefas[ID],1))+1)/(Tarefas[Status]=D$4),ROWS(D$6:D23))),"dd/mm/yyyy")),"")</f>
        <v/>
      </c>
      <c r="E23" s="19" t="str">
        <f>IFERROR(INDEX(Tarefas[ID],_xlfn.AGGREGATE(15,6,(ROW(Tarefas[ID])-ROW(INDEX(Tarefas[ID],1))+1)/(Tarefas[Status]=E$4),ROWS(E$6:E23)))&amp;" | "&amp;INDEX(Tarefas[Tarefa],_xlfn.AGGREGATE(15,6,(ROW(Tarefas[ID])-ROW(INDEX(Tarefas[ID],1))+1)/(Tarefas[Status]=E$4),ROWS(E$6:E23)))&amp;CHAR(10)&amp;INDEX(Tarefas[Prioridade],_xlfn.AGGREGATE(15,6,(ROW(Tarefas[ID])-ROW(INDEX(Tarefas[ID],1))+1)/(Tarefas[Status]=E$4),ROWS(E$6:E23)))&amp;" · "&amp;INDEX(Tarefas[Responsável],_xlfn.AGGREGATE(15,6,(ROW(Tarefas[ID])-ROW(INDEX(Tarefas[ID],1))+1)/(Tarefas[Status]=E$4),ROWS(E$6:E23)))&amp;CHAR(10)&amp;IF(INDEX(Tarefas[Prazo],_xlfn.AGGREGATE(15,6,(ROW(Tarefas[ID])-ROW(INDEX(Tarefas[ID],1))+1)/(Tarefas[Status]=E$4),ROWS(E$6:E23)))=0,"Sem prazo",TEXT(INDEX(Tarefas[Prazo],_xlfn.AGGREGATE(15,6,(ROW(Tarefas[ID])-ROW(INDEX(Tarefas[ID],1))+1)/(Tarefas[Status]=E$4),ROWS(E$6:E23))),"dd/mm/yyyy")),"")</f>
        <v/>
      </c>
      <c r="F23" s="19" t="str">
        <f>IFERROR(INDEX(Tarefas[ID],_xlfn.AGGREGATE(15,6,(ROW(Tarefas[ID])-ROW(INDEX(Tarefas[ID],1))+1)/(Tarefas[Status]=F$4),ROWS(F$6:F23)))&amp;" | "&amp;INDEX(Tarefas[Tarefa],_xlfn.AGGREGATE(15,6,(ROW(Tarefas[ID])-ROW(INDEX(Tarefas[ID],1))+1)/(Tarefas[Status]=F$4),ROWS(F$6:F23)))&amp;CHAR(10)&amp;INDEX(Tarefas[Prioridade],_xlfn.AGGREGATE(15,6,(ROW(Tarefas[ID])-ROW(INDEX(Tarefas[ID],1))+1)/(Tarefas[Status]=F$4),ROWS(F$6:F23)))&amp;" · "&amp;INDEX(Tarefas[Responsável],_xlfn.AGGREGATE(15,6,(ROW(Tarefas[ID])-ROW(INDEX(Tarefas[ID],1))+1)/(Tarefas[Status]=F$4),ROWS(F$6:F23)))&amp;CHAR(10)&amp;IF(INDEX(Tarefas[Prazo],_xlfn.AGGREGATE(15,6,(ROW(Tarefas[ID])-ROW(INDEX(Tarefas[ID],1))+1)/(Tarefas[Status]=F$4),ROWS(F$6:F23)))=0,"Sem prazo",TEXT(INDEX(Tarefas[Prazo],_xlfn.AGGREGATE(15,6,(ROW(Tarefas[ID])-ROW(INDEX(Tarefas[ID],1))+1)/(Tarefas[Status]=F$4),ROWS(F$6:F23))),"dd/mm/yyyy")),"")</f>
        <v/>
      </c>
    </row>
    <row r="24" spans="1:6" ht="93.95" customHeight="1" x14ac:dyDescent="0.25">
      <c r="A24" s="18" t="str">
        <f>IFERROR(INDEX(Tarefas[ID],_xlfn.AGGREGATE(15,6,(ROW(Tarefas[ID])-ROW(INDEX(Tarefas[ID],1))+1)/(Tarefas[Status]=A$4),ROWS(A$6:A24)))&amp;" | "&amp;INDEX(Tarefas[Tarefa],_xlfn.AGGREGATE(15,6,(ROW(Tarefas[ID])-ROW(INDEX(Tarefas[ID],1))+1)/(Tarefas[Status]=A$4),ROWS(A$6:A24)))&amp;CHAR(10)&amp;INDEX(Tarefas[Prioridade],_xlfn.AGGREGATE(15,6,(ROW(Tarefas[ID])-ROW(INDEX(Tarefas[ID],1))+1)/(Tarefas[Status]=A$4),ROWS(A$6:A24)))&amp;" · "&amp;INDEX(Tarefas[Responsável],_xlfn.AGGREGATE(15,6,(ROW(Tarefas[ID])-ROW(INDEX(Tarefas[ID],1))+1)/(Tarefas[Status]=A$4),ROWS(A$6:A24)))&amp;CHAR(10)&amp;IF(INDEX(Tarefas[Prazo],_xlfn.AGGREGATE(15,6,(ROW(Tarefas[ID])-ROW(INDEX(Tarefas[ID],1))+1)/(Tarefas[Status]=A$4),ROWS(A$6:A24)))=0,"Sem prazo",TEXT(INDEX(Tarefas[Prazo],_xlfn.AGGREGATE(15,6,(ROW(Tarefas[ID])-ROW(INDEX(Tarefas[ID],1))+1)/(Tarefas[Status]=A$4),ROWS(A$6:A24))),"dd/mm/yyyy")),"")</f>
        <v/>
      </c>
      <c r="B24" s="18" t="str">
        <f>IFERROR(INDEX(Tarefas[ID],_xlfn.AGGREGATE(15,6,(ROW(Tarefas[ID])-ROW(INDEX(Tarefas[ID],1))+1)/(Tarefas[Status]=B$4),ROWS(B$6:B24)))&amp;" | "&amp;INDEX(Tarefas[Tarefa],_xlfn.AGGREGATE(15,6,(ROW(Tarefas[ID])-ROW(INDEX(Tarefas[ID],1))+1)/(Tarefas[Status]=B$4),ROWS(B$6:B24)))&amp;CHAR(10)&amp;INDEX(Tarefas[Prioridade],_xlfn.AGGREGATE(15,6,(ROW(Tarefas[ID])-ROW(INDEX(Tarefas[ID],1))+1)/(Tarefas[Status]=B$4),ROWS(B$6:B24)))&amp;" · "&amp;INDEX(Tarefas[Responsável],_xlfn.AGGREGATE(15,6,(ROW(Tarefas[ID])-ROW(INDEX(Tarefas[ID],1))+1)/(Tarefas[Status]=B$4),ROWS(B$6:B24)))&amp;CHAR(10)&amp;IF(INDEX(Tarefas[Prazo],_xlfn.AGGREGATE(15,6,(ROW(Tarefas[ID])-ROW(INDEX(Tarefas[ID],1))+1)/(Tarefas[Status]=B$4),ROWS(B$6:B24)))=0,"Sem prazo",TEXT(INDEX(Tarefas[Prazo],_xlfn.AGGREGATE(15,6,(ROW(Tarefas[ID])-ROW(INDEX(Tarefas[ID],1))+1)/(Tarefas[Status]=B$4),ROWS(B$6:B24))),"dd/mm/yyyy")),"")</f>
        <v/>
      </c>
      <c r="C24" s="18" t="str">
        <f>IFERROR(INDEX(Tarefas[ID],_xlfn.AGGREGATE(15,6,(ROW(Tarefas[ID])-ROW(INDEX(Tarefas[ID],1))+1)/(Tarefas[Status]=C$4),ROWS(C$6:C24)))&amp;" | "&amp;INDEX(Tarefas[Tarefa],_xlfn.AGGREGATE(15,6,(ROW(Tarefas[ID])-ROW(INDEX(Tarefas[ID],1))+1)/(Tarefas[Status]=C$4),ROWS(C$6:C24)))&amp;CHAR(10)&amp;INDEX(Tarefas[Prioridade],_xlfn.AGGREGATE(15,6,(ROW(Tarefas[ID])-ROW(INDEX(Tarefas[ID],1))+1)/(Tarefas[Status]=C$4),ROWS(C$6:C24)))&amp;" · "&amp;INDEX(Tarefas[Responsável],_xlfn.AGGREGATE(15,6,(ROW(Tarefas[ID])-ROW(INDEX(Tarefas[ID],1))+1)/(Tarefas[Status]=C$4),ROWS(C$6:C24)))&amp;CHAR(10)&amp;IF(INDEX(Tarefas[Prazo],_xlfn.AGGREGATE(15,6,(ROW(Tarefas[ID])-ROW(INDEX(Tarefas[ID],1))+1)/(Tarefas[Status]=C$4),ROWS(C$6:C24)))=0,"Sem prazo",TEXT(INDEX(Tarefas[Prazo],_xlfn.AGGREGATE(15,6,(ROW(Tarefas[ID])-ROW(INDEX(Tarefas[ID],1))+1)/(Tarefas[Status]=C$4),ROWS(C$6:C24))),"dd/mm/yyyy")),"")</f>
        <v/>
      </c>
      <c r="D24" s="18" t="str">
        <f>IFERROR(INDEX(Tarefas[ID],_xlfn.AGGREGATE(15,6,(ROW(Tarefas[ID])-ROW(INDEX(Tarefas[ID],1))+1)/(Tarefas[Status]=D$4),ROWS(D$6:D24)))&amp;" | "&amp;INDEX(Tarefas[Tarefa],_xlfn.AGGREGATE(15,6,(ROW(Tarefas[ID])-ROW(INDEX(Tarefas[ID],1))+1)/(Tarefas[Status]=D$4),ROWS(D$6:D24)))&amp;CHAR(10)&amp;INDEX(Tarefas[Prioridade],_xlfn.AGGREGATE(15,6,(ROW(Tarefas[ID])-ROW(INDEX(Tarefas[ID],1))+1)/(Tarefas[Status]=D$4),ROWS(D$6:D24)))&amp;" · "&amp;INDEX(Tarefas[Responsável],_xlfn.AGGREGATE(15,6,(ROW(Tarefas[ID])-ROW(INDEX(Tarefas[ID],1))+1)/(Tarefas[Status]=D$4),ROWS(D$6:D24)))&amp;CHAR(10)&amp;IF(INDEX(Tarefas[Prazo],_xlfn.AGGREGATE(15,6,(ROW(Tarefas[ID])-ROW(INDEX(Tarefas[ID],1))+1)/(Tarefas[Status]=D$4),ROWS(D$6:D24)))=0,"Sem prazo",TEXT(INDEX(Tarefas[Prazo],_xlfn.AGGREGATE(15,6,(ROW(Tarefas[ID])-ROW(INDEX(Tarefas[ID],1))+1)/(Tarefas[Status]=D$4),ROWS(D$6:D24))),"dd/mm/yyyy")),"")</f>
        <v/>
      </c>
      <c r="E24" s="18" t="str">
        <f>IFERROR(INDEX(Tarefas[ID],_xlfn.AGGREGATE(15,6,(ROW(Tarefas[ID])-ROW(INDEX(Tarefas[ID],1))+1)/(Tarefas[Status]=E$4),ROWS(E$6:E24)))&amp;" | "&amp;INDEX(Tarefas[Tarefa],_xlfn.AGGREGATE(15,6,(ROW(Tarefas[ID])-ROW(INDEX(Tarefas[ID],1))+1)/(Tarefas[Status]=E$4),ROWS(E$6:E24)))&amp;CHAR(10)&amp;INDEX(Tarefas[Prioridade],_xlfn.AGGREGATE(15,6,(ROW(Tarefas[ID])-ROW(INDEX(Tarefas[ID],1))+1)/(Tarefas[Status]=E$4),ROWS(E$6:E24)))&amp;" · "&amp;INDEX(Tarefas[Responsável],_xlfn.AGGREGATE(15,6,(ROW(Tarefas[ID])-ROW(INDEX(Tarefas[ID],1))+1)/(Tarefas[Status]=E$4),ROWS(E$6:E24)))&amp;CHAR(10)&amp;IF(INDEX(Tarefas[Prazo],_xlfn.AGGREGATE(15,6,(ROW(Tarefas[ID])-ROW(INDEX(Tarefas[ID],1))+1)/(Tarefas[Status]=E$4),ROWS(E$6:E24)))=0,"Sem prazo",TEXT(INDEX(Tarefas[Prazo],_xlfn.AGGREGATE(15,6,(ROW(Tarefas[ID])-ROW(INDEX(Tarefas[ID],1))+1)/(Tarefas[Status]=E$4),ROWS(E$6:E24))),"dd/mm/yyyy")),"")</f>
        <v/>
      </c>
      <c r="F24" s="18" t="str">
        <f>IFERROR(INDEX(Tarefas[ID],_xlfn.AGGREGATE(15,6,(ROW(Tarefas[ID])-ROW(INDEX(Tarefas[ID],1))+1)/(Tarefas[Status]=F$4),ROWS(F$6:F24)))&amp;" | "&amp;INDEX(Tarefas[Tarefa],_xlfn.AGGREGATE(15,6,(ROW(Tarefas[ID])-ROW(INDEX(Tarefas[ID],1))+1)/(Tarefas[Status]=F$4),ROWS(F$6:F24)))&amp;CHAR(10)&amp;INDEX(Tarefas[Prioridade],_xlfn.AGGREGATE(15,6,(ROW(Tarefas[ID])-ROW(INDEX(Tarefas[ID],1))+1)/(Tarefas[Status]=F$4),ROWS(F$6:F24)))&amp;" · "&amp;INDEX(Tarefas[Responsável],_xlfn.AGGREGATE(15,6,(ROW(Tarefas[ID])-ROW(INDEX(Tarefas[ID],1))+1)/(Tarefas[Status]=F$4),ROWS(F$6:F24)))&amp;CHAR(10)&amp;IF(INDEX(Tarefas[Prazo],_xlfn.AGGREGATE(15,6,(ROW(Tarefas[ID])-ROW(INDEX(Tarefas[ID],1))+1)/(Tarefas[Status]=F$4),ROWS(F$6:F24)))=0,"Sem prazo",TEXT(INDEX(Tarefas[Prazo],_xlfn.AGGREGATE(15,6,(ROW(Tarefas[ID])-ROW(INDEX(Tarefas[ID],1))+1)/(Tarefas[Status]=F$4),ROWS(F$6:F24))),"dd/mm/yyyy")),"")</f>
        <v/>
      </c>
    </row>
    <row r="25" spans="1:6" ht="93.95" customHeight="1" x14ac:dyDescent="0.25">
      <c r="A25" s="19" t="str">
        <f>IFERROR(INDEX(Tarefas[ID],_xlfn.AGGREGATE(15,6,(ROW(Tarefas[ID])-ROW(INDEX(Tarefas[ID],1))+1)/(Tarefas[Status]=A$4),ROWS(A$6:A25)))&amp;" | "&amp;INDEX(Tarefas[Tarefa],_xlfn.AGGREGATE(15,6,(ROW(Tarefas[ID])-ROW(INDEX(Tarefas[ID],1))+1)/(Tarefas[Status]=A$4),ROWS(A$6:A25)))&amp;CHAR(10)&amp;INDEX(Tarefas[Prioridade],_xlfn.AGGREGATE(15,6,(ROW(Tarefas[ID])-ROW(INDEX(Tarefas[ID],1))+1)/(Tarefas[Status]=A$4),ROWS(A$6:A25)))&amp;" · "&amp;INDEX(Tarefas[Responsável],_xlfn.AGGREGATE(15,6,(ROW(Tarefas[ID])-ROW(INDEX(Tarefas[ID],1))+1)/(Tarefas[Status]=A$4),ROWS(A$6:A25)))&amp;CHAR(10)&amp;IF(INDEX(Tarefas[Prazo],_xlfn.AGGREGATE(15,6,(ROW(Tarefas[ID])-ROW(INDEX(Tarefas[ID],1))+1)/(Tarefas[Status]=A$4),ROWS(A$6:A25)))=0,"Sem prazo",TEXT(INDEX(Tarefas[Prazo],_xlfn.AGGREGATE(15,6,(ROW(Tarefas[ID])-ROW(INDEX(Tarefas[ID],1))+1)/(Tarefas[Status]=A$4),ROWS(A$6:A25))),"dd/mm/yyyy")),"")</f>
        <v/>
      </c>
      <c r="B25" s="19" t="str">
        <f>IFERROR(INDEX(Tarefas[ID],_xlfn.AGGREGATE(15,6,(ROW(Tarefas[ID])-ROW(INDEX(Tarefas[ID],1))+1)/(Tarefas[Status]=B$4),ROWS(B$6:B25)))&amp;" | "&amp;INDEX(Tarefas[Tarefa],_xlfn.AGGREGATE(15,6,(ROW(Tarefas[ID])-ROW(INDEX(Tarefas[ID],1))+1)/(Tarefas[Status]=B$4),ROWS(B$6:B25)))&amp;CHAR(10)&amp;INDEX(Tarefas[Prioridade],_xlfn.AGGREGATE(15,6,(ROW(Tarefas[ID])-ROW(INDEX(Tarefas[ID],1))+1)/(Tarefas[Status]=B$4),ROWS(B$6:B25)))&amp;" · "&amp;INDEX(Tarefas[Responsável],_xlfn.AGGREGATE(15,6,(ROW(Tarefas[ID])-ROW(INDEX(Tarefas[ID],1))+1)/(Tarefas[Status]=B$4),ROWS(B$6:B25)))&amp;CHAR(10)&amp;IF(INDEX(Tarefas[Prazo],_xlfn.AGGREGATE(15,6,(ROW(Tarefas[ID])-ROW(INDEX(Tarefas[ID],1))+1)/(Tarefas[Status]=B$4),ROWS(B$6:B25)))=0,"Sem prazo",TEXT(INDEX(Tarefas[Prazo],_xlfn.AGGREGATE(15,6,(ROW(Tarefas[ID])-ROW(INDEX(Tarefas[ID],1))+1)/(Tarefas[Status]=B$4),ROWS(B$6:B25))),"dd/mm/yyyy")),"")</f>
        <v/>
      </c>
      <c r="C25" s="19" t="str">
        <f>IFERROR(INDEX(Tarefas[ID],_xlfn.AGGREGATE(15,6,(ROW(Tarefas[ID])-ROW(INDEX(Tarefas[ID],1))+1)/(Tarefas[Status]=C$4),ROWS(C$6:C25)))&amp;" | "&amp;INDEX(Tarefas[Tarefa],_xlfn.AGGREGATE(15,6,(ROW(Tarefas[ID])-ROW(INDEX(Tarefas[ID],1))+1)/(Tarefas[Status]=C$4),ROWS(C$6:C25)))&amp;CHAR(10)&amp;INDEX(Tarefas[Prioridade],_xlfn.AGGREGATE(15,6,(ROW(Tarefas[ID])-ROW(INDEX(Tarefas[ID],1))+1)/(Tarefas[Status]=C$4),ROWS(C$6:C25)))&amp;" · "&amp;INDEX(Tarefas[Responsável],_xlfn.AGGREGATE(15,6,(ROW(Tarefas[ID])-ROW(INDEX(Tarefas[ID],1))+1)/(Tarefas[Status]=C$4),ROWS(C$6:C25)))&amp;CHAR(10)&amp;IF(INDEX(Tarefas[Prazo],_xlfn.AGGREGATE(15,6,(ROW(Tarefas[ID])-ROW(INDEX(Tarefas[ID],1))+1)/(Tarefas[Status]=C$4),ROWS(C$6:C25)))=0,"Sem prazo",TEXT(INDEX(Tarefas[Prazo],_xlfn.AGGREGATE(15,6,(ROW(Tarefas[ID])-ROW(INDEX(Tarefas[ID],1))+1)/(Tarefas[Status]=C$4),ROWS(C$6:C25))),"dd/mm/yyyy")),"")</f>
        <v/>
      </c>
      <c r="D25" s="19" t="str">
        <f>IFERROR(INDEX(Tarefas[ID],_xlfn.AGGREGATE(15,6,(ROW(Tarefas[ID])-ROW(INDEX(Tarefas[ID],1))+1)/(Tarefas[Status]=D$4),ROWS(D$6:D25)))&amp;" | "&amp;INDEX(Tarefas[Tarefa],_xlfn.AGGREGATE(15,6,(ROW(Tarefas[ID])-ROW(INDEX(Tarefas[ID],1))+1)/(Tarefas[Status]=D$4),ROWS(D$6:D25)))&amp;CHAR(10)&amp;INDEX(Tarefas[Prioridade],_xlfn.AGGREGATE(15,6,(ROW(Tarefas[ID])-ROW(INDEX(Tarefas[ID],1))+1)/(Tarefas[Status]=D$4),ROWS(D$6:D25)))&amp;" · "&amp;INDEX(Tarefas[Responsável],_xlfn.AGGREGATE(15,6,(ROW(Tarefas[ID])-ROW(INDEX(Tarefas[ID],1))+1)/(Tarefas[Status]=D$4),ROWS(D$6:D25)))&amp;CHAR(10)&amp;IF(INDEX(Tarefas[Prazo],_xlfn.AGGREGATE(15,6,(ROW(Tarefas[ID])-ROW(INDEX(Tarefas[ID],1))+1)/(Tarefas[Status]=D$4),ROWS(D$6:D25)))=0,"Sem prazo",TEXT(INDEX(Tarefas[Prazo],_xlfn.AGGREGATE(15,6,(ROW(Tarefas[ID])-ROW(INDEX(Tarefas[ID],1))+1)/(Tarefas[Status]=D$4),ROWS(D$6:D25))),"dd/mm/yyyy")),"")</f>
        <v/>
      </c>
      <c r="E25" s="19" t="str">
        <f>IFERROR(INDEX(Tarefas[ID],_xlfn.AGGREGATE(15,6,(ROW(Tarefas[ID])-ROW(INDEX(Tarefas[ID],1))+1)/(Tarefas[Status]=E$4),ROWS(E$6:E25)))&amp;" | "&amp;INDEX(Tarefas[Tarefa],_xlfn.AGGREGATE(15,6,(ROW(Tarefas[ID])-ROW(INDEX(Tarefas[ID],1))+1)/(Tarefas[Status]=E$4),ROWS(E$6:E25)))&amp;CHAR(10)&amp;INDEX(Tarefas[Prioridade],_xlfn.AGGREGATE(15,6,(ROW(Tarefas[ID])-ROW(INDEX(Tarefas[ID],1))+1)/(Tarefas[Status]=E$4),ROWS(E$6:E25)))&amp;" · "&amp;INDEX(Tarefas[Responsável],_xlfn.AGGREGATE(15,6,(ROW(Tarefas[ID])-ROW(INDEX(Tarefas[ID],1))+1)/(Tarefas[Status]=E$4),ROWS(E$6:E25)))&amp;CHAR(10)&amp;IF(INDEX(Tarefas[Prazo],_xlfn.AGGREGATE(15,6,(ROW(Tarefas[ID])-ROW(INDEX(Tarefas[ID],1))+1)/(Tarefas[Status]=E$4),ROWS(E$6:E25)))=0,"Sem prazo",TEXT(INDEX(Tarefas[Prazo],_xlfn.AGGREGATE(15,6,(ROW(Tarefas[ID])-ROW(INDEX(Tarefas[ID],1))+1)/(Tarefas[Status]=E$4),ROWS(E$6:E25))),"dd/mm/yyyy")),"")</f>
        <v/>
      </c>
      <c r="F25" s="19" t="str">
        <f>IFERROR(INDEX(Tarefas[ID],_xlfn.AGGREGATE(15,6,(ROW(Tarefas[ID])-ROW(INDEX(Tarefas[ID],1))+1)/(Tarefas[Status]=F$4),ROWS(F$6:F25)))&amp;" | "&amp;INDEX(Tarefas[Tarefa],_xlfn.AGGREGATE(15,6,(ROW(Tarefas[ID])-ROW(INDEX(Tarefas[ID],1))+1)/(Tarefas[Status]=F$4),ROWS(F$6:F25)))&amp;CHAR(10)&amp;INDEX(Tarefas[Prioridade],_xlfn.AGGREGATE(15,6,(ROW(Tarefas[ID])-ROW(INDEX(Tarefas[ID],1))+1)/(Tarefas[Status]=F$4),ROWS(F$6:F25)))&amp;" · "&amp;INDEX(Tarefas[Responsável],_xlfn.AGGREGATE(15,6,(ROW(Tarefas[ID])-ROW(INDEX(Tarefas[ID],1))+1)/(Tarefas[Status]=F$4),ROWS(F$6:F25)))&amp;CHAR(10)&amp;IF(INDEX(Tarefas[Prazo],_xlfn.AGGREGATE(15,6,(ROW(Tarefas[ID])-ROW(INDEX(Tarefas[ID],1))+1)/(Tarefas[Status]=F$4),ROWS(F$6:F25)))=0,"Sem prazo",TEXT(INDEX(Tarefas[Prazo],_xlfn.AGGREGATE(15,6,(ROW(Tarefas[ID])-ROW(INDEX(Tarefas[ID],1))+1)/(Tarefas[Status]=F$4),ROWS(F$6:F25))),"dd/mm/yyyy")),"")</f>
        <v/>
      </c>
    </row>
    <row r="26" spans="1:6" ht="93.95" customHeight="1" x14ac:dyDescent="0.25">
      <c r="A26" s="18" t="str">
        <f>IFERROR(INDEX(Tarefas[ID],_xlfn.AGGREGATE(15,6,(ROW(Tarefas[ID])-ROW(INDEX(Tarefas[ID],1))+1)/(Tarefas[Status]=A$4),ROWS(A$6:A26)))&amp;" | "&amp;INDEX(Tarefas[Tarefa],_xlfn.AGGREGATE(15,6,(ROW(Tarefas[ID])-ROW(INDEX(Tarefas[ID],1))+1)/(Tarefas[Status]=A$4),ROWS(A$6:A26)))&amp;CHAR(10)&amp;INDEX(Tarefas[Prioridade],_xlfn.AGGREGATE(15,6,(ROW(Tarefas[ID])-ROW(INDEX(Tarefas[ID],1))+1)/(Tarefas[Status]=A$4),ROWS(A$6:A26)))&amp;" · "&amp;INDEX(Tarefas[Responsável],_xlfn.AGGREGATE(15,6,(ROW(Tarefas[ID])-ROW(INDEX(Tarefas[ID],1))+1)/(Tarefas[Status]=A$4),ROWS(A$6:A26)))&amp;CHAR(10)&amp;IF(INDEX(Tarefas[Prazo],_xlfn.AGGREGATE(15,6,(ROW(Tarefas[ID])-ROW(INDEX(Tarefas[ID],1))+1)/(Tarefas[Status]=A$4),ROWS(A$6:A26)))=0,"Sem prazo",TEXT(INDEX(Tarefas[Prazo],_xlfn.AGGREGATE(15,6,(ROW(Tarefas[ID])-ROW(INDEX(Tarefas[ID],1))+1)/(Tarefas[Status]=A$4),ROWS(A$6:A26))),"dd/mm/yyyy")),"")</f>
        <v/>
      </c>
      <c r="B26" s="18" t="str">
        <f>IFERROR(INDEX(Tarefas[ID],_xlfn.AGGREGATE(15,6,(ROW(Tarefas[ID])-ROW(INDEX(Tarefas[ID],1))+1)/(Tarefas[Status]=B$4),ROWS(B$6:B26)))&amp;" | "&amp;INDEX(Tarefas[Tarefa],_xlfn.AGGREGATE(15,6,(ROW(Tarefas[ID])-ROW(INDEX(Tarefas[ID],1))+1)/(Tarefas[Status]=B$4),ROWS(B$6:B26)))&amp;CHAR(10)&amp;INDEX(Tarefas[Prioridade],_xlfn.AGGREGATE(15,6,(ROW(Tarefas[ID])-ROW(INDEX(Tarefas[ID],1))+1)/(Tarefas[Status]=B$4),ROWS(B$6:B26)))&amp;" · "&amp;INDEX(Tarefas[Responsável],_xlfn.AGGREGATE(15,6,(ROW(Tarefas[ID])-ROW(INDEX(Tarefas[ID],1))+1)/(Tarefas[Status]=B$4),ROWS(B$6:B26)))&amp;CHAR(10)&amp;IF(INDEX(Tarefas[Prazo],_xlfn.AGGREGATE(15,6,(ROW(Tarefas[ID])-ROW(INDEX(Tarefas[ID],1))+1)/(Tarefas[Status]=B$4),ROWS(B$6:B26)))=0,"Sem prazo",TEXT(INDEX(Tarefas[Prazo],_xlfn.AGGREGATE(15,6,(ROW(Tarefas[ID])-ROW(INDEX(Tarefas[ID],1))+1)/(Tarefas[Status]=B$4),ROWS(B$6:B26))),"dd/mm/yyyy")),"")</f>
        <v/>
      </c>
      <c r="C26" s="18" t="str">
        <f>IFERROR(INDEX(Tarefas[ID],_xlfn.AGGREGATE(15,6,(ROW(Tarefas[ID])-ROW(INDEX(Tarefas[ID],1))+1)/(Tarefas[Status]=C$4),ROWS(C$6:C26)))&amp;" | "&amp;INDEX(Tarefas[Tarefa],_xlfn.AGGREGATE(15,6,(ROW(Tarefas[ID])-ROW(INDEX(Tarefas[ID],1))+1)/(Tarefas[Status]=C$4),ROWS(C$6:C26)))&amp;CHAR(10)&amp;INDEX(Tarefas[Prioridade],_xlfn.AGGREGATE(15,6,(ROW(Tarefas[ID])-ROW(INDEX(Tarefas[ID],1))+1)/(Tarefas[Status]=C$4),ROWS(C$6:C26)))&amp;" · "&amp;INDEX(Tarefas[Responsável],_xlfn.AGGREGATE(15,6,(ROW(Tarefas[ID])-ROW(INDEX(Tarefas[ID],1))+1)/(Tarefas[Status]=C$4),ROWS(C$6:C26)))&amp;CHAR(10)&amp;IF(INDEX(Tarefas[Prazo],_xlfn.AGGREGATE(15,6,(ROW(Tarefas[ID])-ROW(INDEX(Tarefas[ID],1))+1)/(Tarefas[Status]=C$4),ROWS(C$6:C26)))=0,"Sem prazo",TEXT(INDEX(Tarefas[Prazo],_xlfn.AGGREGATE(15,6,(ROW(Tarefas[ID])-ROW(INDEX(Tarefas[ID],1))+1)/(Tarefas[Status]=C$4),ROWS(C$6:C26))),"dd/mm/yyyy")),"")</f>
        <v/>
      </c>
      <c r="D26" s="18" t="str">
        <f>IFERROR(INDEX(Tarefas[ID],_xlfn.AGGREGATE(15,6,(ROW(Tarefas[ID])-ROW(INDEX(Tarefas[ID],1))+1)/(Tarefas[Status]=D$4),ROWS(D$6:D26)))&amp;" | "&amp;INDEX(Tarefas[Tarefa],_xlfn.AGGREGATE(15,6,(ROW(Tarefas[ID])-ROW(INDEX(Tarefas[ID],1))+1)/(Tarefas[Status]=D$4),ROWS(D$6:D26)))&amp;CHAR(10)&amp;INDEX(Tarefas[Prioridade],_xlfn.AGGREGATE(15,6,(ROW(Tarefas[ID])-ROW(INDEX(Tarefas[ID],1))+1)/(Tarefas[Status]=D$4),ROWS(D$6:D26)))&amp;" · "&amp;INDEX(Tarefas[Responsável],_xlfn.AGGREGATE(15,6,(ROW(Tarefas[ID])-ROW(INDEX(Tarefas[ID],1))+1)/(Tarefas[Status]=D$4),ROWS(D$6:D26)))&amp;CHAR(10)&amp;IF(INDEX(Tarefas[Prazo],_xlfn.AGGREGATE(15,6,(ROW(Tarefas[ID])-ROW(INDEX(Tarefas[ID],1))+1)/(Tarefas[Status]=D$4),ROWS(D$6:D26)))=0,"Sem prazo",TEXT(INDEX(Tarefas[Prazo],_xlfn.AGGREGATE(15,6,(ROW(Tarefas[ID])-ROW(INDEX(Tarefas[ID],1))+1)/(Tarefas[Status]=D$4),ROWS(D$6:D26))),"dd/mm/yyyy")),"")</f>
        <v/>
      </c>
      <c r="E26" s="18" t="str">
        <f>IFERROR(INDEX(Tarefas[ID],_xlfn.AGGREGATE(15,6,(ROW(Tarefas[ID])-ROW(INDEX(Tarefas[ID],1))+1)/(Tarefas[Status]=E$4),ROWS(E$6:E26)))&amp;" | "&amp;INDEX(Tarefas[Tarefa],_xlfn.AGGREGATE(15,6,(ROW(Tarefas[ID])-ROW(INDEX(Tarefas[ID],1))+1)/(Tarefas[Status]=E$4),ROWS(E$6:E26)))&amp;CHAR(10)&amp;INDEX(Tarefas[Prioridade],_xlfn.AGGREGATE(15,6,(ROW(Tarefas[ID])-ROW(INDEX(Tarefas[ID],1))+1)/(Tarefas[Status]=E$4),ROWS(E$6:E26)))&amp;" · "&amp;INDEX(Tarefas[Responsável],_xlfn.AGGREGATE(15,6,(ROW(Tarefas[ID])-ROW(INDEX(Tarefas[ID],1))+1)/(Tarefas[Status]=E$4),ROWS(E$6:E26)))&amp;CHAR(10)&amp;IF(INDEX(Tarefas[Prazo],_xlfn.AGGREGATE(15,6,(ROW(Tarefas[ID])-ROW(INDEX(Tarefas[ID],1))+1)/(Tarefas[Status]=E$4),ROWS(E$6:E26)))=0,"Sem prazo",TEXT(INDEX(Tarefas[Prazo],_xlfn.AGGREGATE(15,6,(ROW(Tarefas[ID])-ROW(INDEX(Tarefas[ID],1))+1)/(Tarefas[Status]=E$4),ROWS(E$6:E26))),"dd/mm/yyyy")),"")</f>
        <v/>
      </c>
      <c r="F26" s="18" t="str">
        <f>IFERROR(INDEX(Tarefas[ID],_xlfn.AGGREGATE(15,6,(ROW(Tarefas[ID])-ROW(INDEX(Tarefas[ID],1))+1)/(Tarefas[Status]=F$4),ROWS(F$6:F26)))&amp;" | "&amp;INDEX(Tarefas[Tarefa],_xlfn.AGGREGATE(15,6,(ROW(Tarefas[ID])-ROW(INDEX(Tarefas[ID],1))+1)/(Tarefas[Status]=F$4),ROWS(F$6:F26)))&amp;CHAR(10)&amp;INDEX(Tarefas[Prioridade],_xlfn.AGGREGATE(15,6,(ROW(Tarefas[ID])-ROW(INDEX(Tarefas[ID],1))+1)/(Tarefas[Status]=F$4),ROWS(F$6:F26)))&amp;" · "&amp;INDEX(Tarefas[Responsável],_xlfn.AGGREGATE(15,6,(ROW(Tarefas[ID])-ROW(INDEX(Tarefas[ID],1))+1)/(Tarefas[Status]=F$4),ROWS(F$6:F26)))&amp;CHAR(10)&amp;IF(INDEX(Tarefas[Prazo],_xlfn.AGGREGATE(15,6,(ROW(Tarefas[ID])-ROW(INDEX(Tarefas[ID],1))+1)/(Tarefas[Status]=F$4),ROWS(F$6:F26)))=0,"Sem prazo",TEXT(INDEX(Tarefas[Prazo],_xlfn.AGGREGATE(15,6,(ROW(Tarefas[ID])-ROW(INDEX(Tarefas[ID],1))+1)/(Tarefas[Status]=F$4),ROWS(F$6:F26))),"dd/mm/yyyy")),"")</f>
        <v/>
      </c>
    </row>
    <row r="27" spans="1:6" ht="93.95" customHeight="1" x14ac:dyDescent="0.25">
      <c r="A27" s="19" t="str">
        <f>IFERROR(INDEX(Tarefas[ID],_xlfn.AGGREGATE(15,6,(ROW(Tarefas[ID])-ROW(INDEX(Tarefas[ID],1))+1)/(Tarefas[Status]=A$4),ROWS(A$6:A27)))&amp;" | "&amp;INDEX(Tarefas[Tarefa],_xlfn.AGGREGATE(15,6,(ROW(Tarefas[ID])-ROW(INDEX(Tarefas[ID],1))+1)/(Tarefas[Status]=A$4),ROWS(A$6:A27)))&amp;CHAR(10)&amp;INDEX(Tarefas[Prioridade],_xlfn.AGGREGATE(15,6,(ROW(Tarefas[ID])-ROW(INDEX(Tarefas[ID],1))+1)/(Tarefas[Status]=A$4),ROWS(A$6:A27)))&amp;" · "&amp;INDEX(Tarefas[Responsável],_xlfn.AGGREGATE(15,6,(ROW(Tarefas[ID])-ROW(INDEX(Tarefas[ID],1))+1)/(Tarefas[Status]=A$4),ROWS(A$6:A27)))&amp;CHAR(10)&amp;IF(INDEX(Tarefas[Prazo],_xlfn.AGGREGATE(15,6,(ROW(Tarefas[ID])-ROW(INDEX(Tarefas[ID],1))+1)/(Tarefas[Status]=A$4),ROWS(A$6:A27)))=0,"Sem prazo",TEXT(INDEX(Tarefas[Prazo],_xlfn.AGGREGATE(15,6,(ROW(Tarefas[ID])-ROW(INDEX(Tarefas[ID],1))+1)/(Tarefas[Status]=A$4),ROWS(A$6:A27))),"dd/mm/yyyy")),"")</f>
        <v/>
      </c>
      <c r="B27" s="19" t="str">
        <f>IFERROR(INDEX(Tarefas[ID],_xlfn.AGGREGATE(15,6,(ROW(Tarefas[ID])-ROW(INDEX(Tarefas[ID],1))+1)/(Tarefas[Status]=B$4),ROWS(B$6:B27)))&amp;" | "&amp;INDEX(Tarefas[Tarefa],_xlfn.AGGREGATE(15,6,(ROW(Tarefas[ID])-ROW(INDEX(Tarefas[ID],1))+1)/(Tarefas[Status]=B$4),ROWS(B$6:B27)))&amp;CHAR(10)&amp;INDEX(Tarefas[Prioridade],_xlfn.AGGREGATE(15,6,(ROW(Tarefas[ID])-ROW(INDEX(Tarefas[ID],1))+1)/(Tarefas[Status]=B$4),ROWS(B$6:B27)))&amp;" · "&amp;INDEX(Tarefas[Responsável],_xlfn.AGGREGATE(15,6,(ROW(Tarefas[ID])-ROW(INDEX(Tarefas[ID],1))+1)/(Tarefas[Status]=B$4),ROWS(B$6:B27)))&amp;CHAR(10)&amp;IF(INDEX(Tarefas[Prazo],_xlfn.AGGREGATE(15,6,(ROW(Tarefas[ID])-ROW(INDEX(Tarefas[ID],1))+1)/(Tarefas[Status]=B$4),ROWS(B$6:B27)))=0,"Sem prazo",TEXT(INDEX(Tarefas[Prazo],_xlfn.AGGREGATE(15,6,(ROW(Tarefas[ID])-ROW(INDEX(Tarefas[ID],1))+1)/(Tarefas[Status]=B$4),ROWS(B$6:B27))),"dd/mm/yyyy")),"")</f>
        <v/>
      </c>
      <c r="C27" s="19" t="str">
        <f>IFERROR(INDEX(Tarefas[ID],_xlfn.AGGREGATE(15,6,(ROW(Tarefas[ID])-ROW(INDEX(Tarefas[ID],1))+1)/(Tarefas[Status]=C$4),ROWS(C$6:C27)))&amp;" | "&amp;INDEX(Tarefas[Tarefa],_xlfn.AGGREGATE(15,6,(ROW(Tarefas[ID])-ROW(INDEX(Tarefas[ID],1))+1)/(Tarefas[Status]=C$4),ROWS(C$6:C27)))&amp;CHAR(10)&amp;INDEX(Tarefas[Prioridade],_xlfn.AGGREGATE(15,6,(ROW(Tarefas[ID])-ROW(INDEX(Tarefas[ID],1))+1)/(Tarefas[Status]=C$4),ROWS(C$6:C27)))&amp;" · "&amp;INDEX(Tarefas[Responsável],_xlfn.AGGREGATE(15,6,(ROW(Tarefas[ID])-ROW(INDEX(Tarefas[ID],1))+1)/(Tarefas[Status]=C$4),ROWS(C$6:C27)))&amp;CHAR(10)&amp;IF(INDEX(Tarefas[Prazo],_xlfn.AGGREGATE(15,6,(ROW(Tarefas[ID])-ROW(INDEX(Tarefas[ID],1))+1)/(Tarefas[Status]=C$4),ROWS(C$6:C27)))=0,"Sem prazo",TEXT(INDEX(Tarefas[Prazo],_xlfn.AGGREGATE(15,6,(ROW(Tarefas[ID])-ROW(INDEX(Tarefas[ID],1))+1)/(Tarefas[Status]=C$4),ROWS(C$6:C27))),"dd/mm/yyyy")),"")</f>
        <v/>
      </c>
      <c r="D27" s="19" t="str">
        <f>IFERROR(INDEX(Tarefas[ID],_xlfn.AGGREGATE(15,6,(ROW(Tarefas[ID])-ROW(INDEX(Tarefas[ID],1))+1)/(Tarefas[Status]=D$4),ROWS(D$6:D27)))&amp;" | "&amp;INDEX(Tarefas[Tarefa],_xlfn.AGGREGATE(15,6,(ROW(Tarefas[ID])-ROW(INDEX(Tarefas[ID],1))+1)/(Tarefas[Status]=D$4),ROWS(D$6:D27)))&amp;CHAR(10)&amp;INDEX(Tarefas[Prioridade],_xlfn.AGGREGATE(15,6,(ROW(Tarefas[ID])-ROW(INDEX(Tarefas[ID],1))+1)/(Tarefas[Status]=D$4),ROWS(D$6:D27)))&amp;" · "&amp;INDEX(Tarefas[Responsável],_xlfn.AGGREGATE(15,6,(ROW(Tarefas[ID])-ROW(INDEX(Tarefas[ID],1))+1)/(Tarefas[Status]=D$4),ROWS(D$6:D27)))&amp;CHAR(10)&amp;IF(INDEX(Tarefas[Prazo],_xlfn.AGGREGATE(15,6,(ROW(Tarefas[ID])-ROW(INDEX(Tarefas[ID],1))+1)/(Tarefas[Status]=D$4),ROWS(D$6:D27)))=0,"Sem prazo",TEXT(INDEX(Tarefas[Prazo],_xlfn.AGGREGATE(15,6,(ROW(Tarefas[ID])-ROW(INDEX(Tarefas[ID],1))+1)/(Tarefas[Status]=D$4),ROWS(D$6:D27))),"dd/mm/yyyy")),"")</f>
        <v/>
      </c>
      <c r="E27" s="19" t="str">
        <f>IFERROR(INDEX(Tarefas[ID],_xlfn.AGGREGATE(15,6,(ROW(Tarefas[ID])-ROW(INDEX(Tarefas[ID],1))+1)/(Tarefas[Status]=E$4),ROWS(E$6:E27)))&amp;" | "&amp;INDEX(Tarefas[Tarefa],_xlfn.AGGREGATE(15,6,(ROW(Tarefas[ID])-ROW(INDEX(Tarefas[ID],1))+1)/(Tarefas[Status]=E$4),ROWS(E$6:E27)))&amp;CHAR(10)&amp;INDEX(Tarefas[Prioridade],_xlfn.AGGREGATE(15,6,(ROW(Tarefas[ID])-ROW(INDEX(Tarefas[ID],1))+1)/(Tarefas[Status]=E$4),ROWS(E$6:E27)))&amp;" · "&amp;INDEX(Tarefas[Responsável],_xlfn.AGGREGATE(15,6,(ROW(Tarefas[ID])-ROW(INDEX(Tarefas[ID],1))+1)/(Tarefas[Status]=E$4),ROWS(E$6:E27)))&amp;CHAR(10)&amp;IF(INDEX(Tarefas[Prazo],_xlfn.AGGREGATE(15,6,(ROW(Tarefas[ID])-ROW(INDEX(Tarefas[ID],1))+1)/(Tarefas[Status]=E$4),ROWS(E$6:E27)))=0,"Sem prazo",TEXT(INDEX(Tarefas[Prazo],_xlfn.AGGREGATE(15,6,(ROW(Tarefas[ID])-ROW(INDEX(Tarefas[ID],1))+1)/(Tarefas[Status]=E$4),ROWS(E$6:E27))),"dd/mm/yyyy")),"")</f>
        <v/>
      </c>
      <c r="F27" s="19" t="str">
        <f>IFERROR(INDEX(Tarefas[ID],_xlfn.AGGREGATE(15,6,(ROW(Tarefas[ID])-ROW(INDEX(Tarefas[ID],1))+1)/(Tarefas[Status]=F$4),ROWS(F$6:F27)))&amp;" | "&amp;INDEX(Tarefas[Tarefa],_xlfn.AGGREGATE(15,6,(ROW(Tarefas[ID])-ROW(INDEX(Tarefas[ID],1))+1)/(Tarefas[Status]=F$4),ROWS(F$6:F27)))&amp;CHAR(10)&amp;INDEX(Tarefas[Prioridade],_xlfn.AGGREGATE(15,6,(ROW(Tarefas[ID])-ROW(INDEX(Tarefas[ID],1))+1)/(Tarefas[Status]=F$4),ROWS(F$6:F27)))&amp;" · "&amp;INDEX(Tarefas[Responsável],_xlfn.AGGREGATE(15,6,(ROW(Tarefas[ID])-ROW(INDEX(Tarefas[ID],1))+1)/(Tarefas[Status]=F$4),ROWS(F$6:F27)))&amp;CHAR(10)&amp;IF(INDEX(Tarefas[Prazo],_xlfn.AGGREGATE(15,6,(ROW(Tarefas[ID])-ROW(INDEX(Tarefas[ID],1))+1)/(Tarefas[Status]=F$4),ROWS(F$6:F27)))=0,"Sem prazo",TEXT(INDEX(Tarefas[Prazo],_xlfn.AGGREGATE(15,6,(ROW(Tarefas[ID])-ROW(INDEX(Tarefas[ID],1))+1)/(Tarefas[Status]=F$4),ROWS(F$6:F27))),"dd/mm/yyyy")),"")</f>
        <v/>
      </c>
    </row>
    <row r="28" spans="1:6" ht="93.95" customHeight="1" x14ac:dyDescent="0.25">
      <c r="A28" s="18" t="str">
        <f>IFERROR(INDEX(Tarefas[ID],_xlfn.AGGREGATE(15,6,(ROW(Tarefas[ID])-ROW(INDEX(Tarefas[ID],1))+1)/(Tarefas[Status]=A$4),ROWS(A$6:A28)))&amp;" | "&amp;INDEX(Tarefas[Tarefa],_xlfn.AGGREGATE(15,6,(ROW(Tarefas[ID])-ROW(INDEX(Tarefas[ID],1))+1)/(Tarefas[Status]=A$4),ROWS(A$6:A28)))&amp;CHAR(10)&amp;INDEX(Tarefas[Prioridade],_xlfn.AGGREGATE(15,6,(ROW(Tarefas[ID])-ROW(INDEX(Tarefas[ID],1))+1)/(Tarefas[Status]=A$4),ROWS(A$6:A28)))&amp;" · "&amp;INDEX(Tarefas[Responsável],_xlfn.AGGREGATE(15,6,(ROW(Tarefas[ID])-ROW(INDEX(Tarefas[ID],1))+1)/(Tarefas[Status]=A$4),ROWS(A$6:A28)))&amp;CHAR(10)&amp;IF(INDEX(Tarefas[Prazo],_xlfn.AGGREGATE(15,6,(ROW(Tarefas[ID])-ROW(INDEX(Tarefas[ID],1))+1)/(Tarefas[Status]=A$4),ROWS(A$6:A28)))=0,"Sem prazo",TEXT(INDEX(Tarefas[Prazo],_xlfn.AGGREGATE(15,6,(ROW(Tarefas[ID])-ROW(INDEX(Tarefas[ID],1))+1)/(Tarefas[Status]=A$4),ROWS(A$6:A28))),"dd/mm/yyyy")),"")</f>
        <v/>
      </c>
      <c r="B28" s="18" t="str">
        <f>IFERROR(INDEX(Tarefas[ID],_xlfn.AGGREGATE(15,6,(ROW(Tarefas[ID])-ROW(INDEX(Tarefas[ID],1))+1)/(Tarefas[Status]=B$4),ROWS(B$6:B28)))&amp;" | "&amp;INDEX(Tarefas[Tarefa],_xlfn.AGGREGATE(15,6,(ROW(Tarefas[ID])-ROW(INDEX(Tarefas[ID],1))+1)/(Tarefas[Status]=B$4),ROWS(B$6:B28)))&amp;CHAR(10)&amp;INDEX(Tarefas[Prioridade],_xlfn.AGGREGATE(15,6,(ROW(Tarefas[ID])-ROW(INDEX(Tarefas[ID],1))+1)/(Tarefas[Status]=B$4),ROWS(B$6:B28)))&amp;" · "&amp;INDEX(Tarefas[Responsável],_xlfn.AGGREGATE(15,6,(ROW(Tarefas[ID])-ROW(INDEX(Tarefas[ID],1))+1)/(Tarefas[Status]=B$4),ROWS(B$6:B28)))&amp;CHAR(10)&amp;IF(INDEX(Tarefas[Prazo],_xlfn.AGGREGATE(15,6,(ROW(Tarefas[ID])-ROW(INDEX(Tarefas[ID],1))+1)/(Tarefas[Status]=B$4),ROWS(B$6:B28)))=0,"Sem prazo",TEXT(INDEX(Tarefas[Prazo],_xlfn.AGGREGATE(15,6,(ROW(Tarefas[ID])-ROW(INDEX(Tarefas[ID],1))+1)/(Tarefas[Status]=B$4),ROWS(B$6:B28))),"dd/mm/yyyy")),"")</f>
        <v/>
      </c>
      <c r="C28" s="18" t="str">
        <f>IFERROR(INDEX(Tarefas[ID],_xlfn.AGGREGATE(15,6,(ROW(Tarefas[ID])-ROW(INDEX(Tarefas[ID],1))+1)/(Tarefas[Status]=C$4),ROWS(C$6:C28)))&amp;" | "&amp;INDEX(Tarefas[Tarefa],_xlfn.AGGREGATE(15,6,(ROW(Tarefas[ID])-ROW(INDEX(Tarefas[ID],1))+1)/(Tarefas[Status]=C$4),ROWS(C$6:C28)))&amp;CHAR(10)&amp;INDEX(Tarefas[Prioridade],_xlfn.AGGREGATE(15,6,(ROW(Tarefas[ID])-ROW(INDEX(Tarefas[ID],1))+1)/(Tarefas[Status]=C$4),ROWS(C$6:C28)))&amp;" · "&amp;INDEX(Tarefas[Responsável],_xlfn.AGGREGATE(15,6,(ROW(Tarefas[ID])-ROW(INDEX(Tarefas[ID],1))+1)/(Tarefas[Status]=C$4),ROWS(C$6:C28)))&amp;CHAR(10)&amp;IF(INDEX(Tarefas[Prazo],_xlfn.AGGREGATE(15,6,(ROW(Tarefas[ID])-ROW(INDEX(Tarefas[ID],1))+1)/(Tarefas[Status]=C$4),ROWS(C$6:C28)))=0,"Sem prazo",TEXT(INDEX(Tarefas[Prazo],_xlfn.AGGREGATE(15,6,(ROW(Tarefas[ID])-ROW(INDEX(Tarefas[ID],1))+1)/(Tarefas[Status]=C$4),ROWS(C$6:C28))),"dd/mm/yyyy")),"")</f>
        <v/>
      </c>
      <c r="D28" s="18" t="str">
        <f>IFERROR(INDEX(Tarefas[ID],_xlfn.AGGREGATE(15,6,(ROW(Tarefas[ID])-ROW(INDEX(Tarefas[ID],1))+1)/(Tarefas[Status]=D$4),ROWS(D$6:D28)))&amp;" | "&amp;INDEX(Tarefas[Tarefa],_xlfn.AGGREGATE(15,6,(ROW(Tarefas[ID])-ROW(INDEX(Tarefas[ID],1))+1)/(Tarefas[Status]=D$4),ROWS(D$6:D28)))&amp;CHAR(10)&amp;INDEX(Tarefas[Prioridade],_xlfn.AGGREGATE(15,6,(ROW(Tarefas[ID])-ROW(INDEX(Tarefas[ID],1))+1)/(Tarefas[Status]=D$4),ROWS(D$6:D28)))&amp;" · "&amp;INDEX(Tarefas[Responsável],_xlfn.AGGREGATE(15,6,(ROW(Tarefas[ID])-ROW(INDEX(Tarefas[ID],1))+1)/(Tarefas[Status]=D$4),ROWS(D$6:D28)))&amp;CHAR(10)&amp;IF(INDEX(Tarefas[Prazo],_xlfn.AGGREGATE(15,6,(ROW(Tarefas[ID])-ROW(INDEX(Tarefas[ID],1))+1)/(Tarefas[Status]=D$4),ROWS(D$6:D28)))=0,"Sem prazo",TEXT(INDEX(Tarefas[Prazo],_xlfn.AGGREGATE(15,6,(ROW(Tarefas[ID])-ROW(INDEX(Tarefas[ID],1))+1)/(Tarefas[Status]=D$4),ROWS(D$6:D28))),"dd/mm/yyyy")),"")</f>
        <v/>
      </c>
      <c r="E28" s="18" t="str">
        <f>IFERROR(INDEX(Tarefas[ID],_xlfn.AGGREGATE(15,6,(ROW(Tarefas[ID])-ROW(INDEX(Tarefas[ID],1))+1)/(Tarefas[Status]=E$4),ROWS(E$6:E28)))&amp;" | "&amp;INDEX(Tarefas[Tarefa],_xlfn.AGGREGATE(15,6,(ROW(Tarefas[ID])-ROW(INDEX(Tarefas[ID],1))+1)/(Tarefas[Status]=E$4),ROWS(E$6:E28)))&amp;CHAR(10)&amp;INDEX(Tarefas[Prioridade],_xlfn.AGGREGATE(15,6,(ROW(Tarefas[ID])-ROW(INDEX(Tarefas[ID],1))+1)/(Tarefas[Status]=E$4),ROWS(E$6:E28)))&amp;" · "&amp;INDEX(Tarefas[Responsável],_xlfn.AGGREGATE(15,6,(ROW(Tarefas[ID])-ROW(INDEX(Tarefas[ID],1))+1)/(Tarefas[Status]=E$4),ROWS(E$6:E28)))&amp;CHAR(10)&amp;IF(INDEX(Tarefas[Prazo],_xlfn.AGGREGATE(15,6,(ROW(Tarefas[ID])-ROW(INDEX(Tarefas[ID],1))+1)/(Tarefas[Status]=E$4),ROWS(E$6:E28)))=0,"Sem prazo",TEXT(INDEX(Tarefas[Prazo],_xlfn.AGGREGATE(15,6,(ROW(Tarefas[ID])-ROW(INDEX(Tarefas[ID],1))+1)/(Tarefas[Status]=E$4),ROWS(E$6:E28))),"dd/mm/yyyy")),"")</f>
        <v/>
      </c>
      <c r="F28" s="18" t="str">
        <f>IFERROR(INDEX(Tarefas[ID],_xlfn.AGGREGATE(15,6,(ROW(Tarefas[ID])-ROW(INDEX(Tarefas[ID],1))+1)/(Tarefas[Status]=F$4),ROWS(F$6:F28)))&amp;" | "&amp;INDEX(Tarefas[Tarefa],_xlfn.AGGREGATE(15,6,(ROW(Tarefas[ID])-ROW(INDEX(Tarefas[ID],1))+1)/(Tarefas[Status]=F$4),ROWS(F$6:F28)))&amp;CHAR(10)&amp;INDEX(Tarefas[Prioridade],_xlfn.AGGREGATE(15,6,(ROW(Tarefas[ID])-ROW(INDEX(Tarefas[ID],1))+1)/(Tarefas[Status]=F$4),ROWS(F$6:F28)))&amp;" · "&amp;INDEX(Tarefas[Responsável],_xlfn.AGGREGATE(15,6,(ROW(Tarefas[ID])-ROW(INDEX(Tarefas[ID],1))+1)/(Tarefas[Status]=F$4),ROWS(F$6:F28)))&amp;CHAR(10)&amp;IF(INDEX(Tarefas[Prazo],_xlfn.AGGREGATE(15,6,(ROW(Tarefas[ID])-ROW(INDEX(Tarefas[ID],1))+1)/(Tarefas[Status]=F$4),ROWS(F$6:F28)))=0,"Sem prazo",TEXT(INDEX(Tarefas[Prazo],_xlfn.AGGREGATE(15,6,(ROW(Tarefas[ID])-ROW(INDEX(Tarefas[ID],1))+1)/(Tarefas[Status]=F$4),ROWS(F$6:F28))),"dd/mm/yyyy")),"")</f>
        <v/>
      </c>
    </row>
    <row r="29" spans="1:6" ht="93.95" customHeight="1" x14ac:dyDescent="0.25">
      <c r="A29" s="19" t="str">
        <f>IFERROR(INDEX(Tarefas[ID],_xlfn.AGGREGATE(15,6,(ROW(Tarefas[ID])-ROW(INDEX(Tarefas[ID],1))+1)/(Tarefas[Status]=A$4),ROWS(A$6:A29)))&amp;" | "&amp;INDEX(Tarefas[Tarefa],_xlfn.AGGREGATE(15,6,(ROW(Tarefas[ID])-ROW(INDEX(Tarefas[ID],1))+1)/(Tarefas[Status]=A$4),ROWS(A$6:A29)))&amp;CHAR(10)&amp;INDEX(Tarefas[Prioridade],_xlfn.AGGREGATE(15,6,(ROW(Tarefas[ID])-ROW(INDEX(Tarefas[ID],1))+1)/(Tarefas[Status]=A$4),ROWS(A$6:A29)))&amp;" · "&amp;INDEX(Tarefas[Responsável],_xlfn.AGGREGATE(15,6,(ROW(Tarefas[ID])-ROW(INDEX(Tarefas[ID],1))+1)/(Tarefas[Status]=A$4),ROWS(A$6:A29)))&amp;CHAR(10)&amp;IF(INDEX(Tarefas[Prazo],_xlfn.AGGREGATE(15,6,(ROW(Tarefas[ID])-ROW(INDEX(Tarefas[ID],1))+1)/(Tarefas[Status]=A$4),ROWS(A$6:A29)))=0,"Sem prazo",TEXT(INDEX(Tarefas[Prazo],_xlfn.AGGREGATE(15,6,(ROW(Tarefas[ID])-ROW(INDEX(Tarefas[ID],1))+1)/(Tarefas[Status]=A$4),ROWS(A$6:A29))),"dd/mm/yyyy")),"")</f>
        <v/>
      </c>
      <c r="B29" s="19" t="str">
        <f>IFERROR(INDEX(Tarefas[ID],_xlfn.AGGREGATE(15,6,(ROW(Tarefas[ID])-ROW(INDEX(Tarefas[ID],1))+1)/(Tarefas[Status]=B$4),ROWS(B$6:B29)))&amp;" | "&amp;INDEX(Tarefas[Tarefa],_xlfn.AGGREGATE(15,6,(ROW(Tarefas[ID])-ROW(INDEX(Tarefas[ID],1))+1)/(Tarefas[Status]=B$4),ROWS(B$6:B29)))&amp;CHAR(10)&amp;INDEX(Tarefas[Prioridade],_xlfn.AGGREGATE(15,6,(ROW(Tarefas[ID])-ROW(INDEX(Tarefas[ID],1))+1)/(Tarefas[Status]=B$4),ROWS(B$6:B29)))&amp;" · "&amp;INDEX(Tarefas[Responsável],_xlfn.AGGREGATE(15,6,(ROW(Tarefas[ID])-ROW(INDEX(Tarefas[ID],1))+1)/(Tarefas[Status]=B$4),ROWS(B$6:B29)))&amp;CHAR(10)&amp;IF(INDEX(Tarefas[Prazo],_xlfn.AGGREGATE(15,6,(ROW(Tarefas[ID])-ROW(INDEX(Tarefas[ID],1))+1)/(Tarefas[Status]=B$4),ROWS(B$6:B29)))=0,"Sem prazo",TEXT(INDEX(Tarefas[Prazo],_xlfn.AGGREGATE(15,6,(ROW(Tarefas[ID])-ROW(INDEX(Tarefas[ID],1))+1)/(Tarefas[Status]=B$4),ROWS(B$6:B29))),"dd/mm/yyyy")),"")</f>
        <v/>
      </c>
      <c r="C29" s="19" t="str">
        <f>IFERROR(INDEX(Tarefas[ID],_xlfn.AGGREGATE(15,6,(ROW(Tarefas[ID])-ROW(INDEX(Tarefas[ID],1))+1)/(Tarefas[Status]=C$4),ROWS(C$6:C29)))&amp;" | "&amp;INDEX(Tarefas[Tarefa],_xlfn.AGGREGATE(15,6,(ROW(Tarefas[ID])-ROW(INDEX(Tarefas[ID],1))+1)/(Tarefas[Status]=C$4),ROWS(C$6:C29)))&amp;CHAR(10)&amp;INDEX(Tarefas[Prioridade],_xlfn.AGGREGATE(15,6,(ROW(Tarefas[ID])-ROW(INDEX(Tarefas[ID],1))+1)/(Tarefas[Status]=C$4),ROWS(C$6:C29)))&amp;" · "&amp;INDEX(Tarefas[Responsável],_xlfn.AGGREGATE(15,6,(ROW(Tarefas[ID])-ROW(INDEX(Tarefas[ID],1))+1)/(Tarefas[Status]=C$4),ROWS(C$6:C29)))&amp;CHAR(10)&amp;IF(INDEX(Tarefas[Prazo],_xlfn.AGGREGATE(15,6,(ROW(Tarefas[ID])-ROW(INDEX(Tarefas[ID],1))+1)/(Tarefas[Status]=C$4),ROWS(C$6:C29)))=0,"Sem prazo",TEXT(INDEX(Tarefas[Prazo],_xlfn.AGGREGATE(15,6,(ROW(Tarefas[ID])-ROW(INDEX(Tarefas[ID],1))+1)/(Tarefas[Status]=C$4),ROWS(C$6:C29))),"dd/mm/yyyy")),"")</f>
        <v/>
      </c>
      <c r="D29" s="19" t="str">
        <f>IFERROR(INDEX(Tarefas[ID],_xlfn.AGGREGATE(15,6,(ROW(Tarefas[ID])-ROW(INDEX(Tarefas[ID],1))+1)/(Tarefas[Status]=D$4),ROWS(D$6:D29)))&amp;" | "&amp;INDEX(Tarefas[Tarefa],_xlfn.AGGREGATE(15,6,(ROW(Tarefas[ID])-ROW(INDEX(Tarefas[ID],1))+1)/(Tarefas[Status]=D$4),ROWS(D$6:D29)))&amp;CHAR(10)&amp;INDEX(Tarefas[Prioridade],_xlfn.AGGREGATE(15,6,(ROW(Tarefas[ID])-ROW(INDEX(Tarefas[ID],1))+1)/(Tarefas[Status]=D$4),ROWS(D$6:D29)))&amp;" · "&amp;INDEX(Tarefas[Responsável],_xlfn.AGGREGATE(15,6,(ROW(Tarefas[ID])-ROW(INDEX(Tarefas[ID],1))+1)/(Tarefas[Status]=D$4),ROWS(D$6:D29)))&amp;CHAR(10)&amp;IF(INDEX(Tarefas[Prazo],_xlfn.AGGREGATE(15,6,(ROW(Tarefas[ID])-ROW(INDEX(Tarefas[ID],1))+1)/(Tarefas[Status]=D$4),ROWS(D$6:D29)))=0,"Sem prazo",TEXT(INDEX(Tarefas[Prazo],_xlfn.AGGREGATE(15,6,(ROW(Tarefas[ID])-ROW(INDEX(Tarefas[ID],1))+1)/(Tarefas[Status]=D$4),ROWS(D$6:D29))),"dd/mm/yyyy")),"")</f>
        <v/>
      </c>
      <c r="E29" s="19" t="str">
        <f>IFERROR(INDEX(Tarefas[ID],_xlfn.AGGREGATE(15,6,(ROW(Tarefas[ID])-ROW(INDEX(Tarefas[ID],1))+1)/(Tarefas[Status]=E$4),ROWS(E$6:E29)))&amp;" | "&amp;INDEX(Tarefas[Tarefa],_xlfn.AGGREGATE(15,6,(ROW(Tarefas[ID])-ROW(INDEX(Tarefas[ID],1))+1)/(Tarefas[Status]=E$4),ROWS(E$6:E29)))&amp;CHAR(10)&amp;INDEX(Tarefas[Prioridade],_xlfn.AGGREGATE(15,6,(ROW(Tarefas[ID])-ROW(INDEX(Tarefas[ID],1))+1)/(Tarefas[Status]=E$4),ROWS(E$6:E29)))&amp;" · "&amp;INDEX(Tarefas[Responsável],_xlfn.AGGREGATE(15,6,(ROW(Tarefas[ID])-ROW(INDEX(Tarefas[ID],1))+1)/(Tarefas[Status]=E$4),ROWS(E$6:E29)))&amp;CHAR(10)&amp;IF(INDEX(Tarefas[Prazo],_xlfn.AGGREGATE(15,6,(ROW(Tarefas[ID])-ROW(INDEX(Tarefas[ID],1))+1)/(Tarefas[Status]=E$4),ROWS(E$6:E29)))=0,"Sem prazo",TEXT(INDEX(Tarefas[Prazo],_xlfn.AGGREGATE(15,6,(ROW(Tarefas[ID])-ROW(INDEX(Tarefas[ID],1))+1)/(Tarefas[Status]=E$4),ROWS(E$6:E29))),"dd/mm/yyyy")),"")</f>
        <v/>
      </c>
      <c r="F29" s="19" t="str">
        <f>IFERROR(INDEX(Tarefas[ID],_xlfn.AGGREGATE(15,6,(ROW(Tarefas[ID])-ROW(INDEX(Tarefas[ID],1))+1)/(Tarefas[Status]=F$4),ROWS(F$6:F29)))&amp;" | "&amp;INDEX(Tarefas[Tarefa],_xlfn.AGGREGATE(15,6,(ROW(Tarefas[ID])-ROW(INDEX(Tarefas[ID],1))+1)/(Tarefas[Status]=F$4),ROWS(F$6:F29)))&amp;CHAR(10)&amp;INDEX(Tarefas[Prioridade],_xlfn.AGGREGATE(15,6,(ROW(Tarefas[ID])-ROW(INDEX(Tarefas[ID],1))+1)/(Tarefas[Status]=F$4),ROWS(F$6:F29)))&amp;" · "&amp;INDEX(Tarefas[Responsável],_xlfn.AGGREGATE(15,6,(ROW(Tarefas[ID])-ROW(INDEX(Tarefas[ID],1))+1)/(Tarefas[Status]=F$4),ROWS(F$6:F29)))&amp;CHAR(10)&amp;IF(INDEX(Tarefas[Prazo],_xlfn.AGGREGATE(15,6,(ROW(Tarefas[ID])-ROW(INDEX(Tarefas[ID],1))+1)/(Tarefas[Status]=F$4),ROWS(F$6:F29)))=0,"Sem prazo",TEXT(INDEX(Tarefas[Prazo],_xlfn.AGGREGATE(15,6,(ROW(Tarefas[ID])-ROW(INDEX(Tarefas[ID],1))+1)/(Tarefas[Status]=F$4),ROWS(F$6:F29))),"dd/mm/yyyy")),"")</f>
        <v/>
      </c>
    </row>
    <row r="30" spans="1:6" ht="93.95" customHeight="1" x14ac:dyDescent="0.25">
      <c r="A30" s="18" t="str">
        <f>IFERROR(INDEX(Tarefas[ID],_xlfn.AGGREGATE(15,6,(ROW(Tarefas[ID])-ROW(INDEX(Tarefas[ID],1))+1)/(Tarefas[Status]=A$4),ROWS(A$6:A30)))&amp;" | "&amp;INDEX(Tarefas[Tarefa],_xlfn.AGGREGATE(15,6,(ROW(Tarefas[ID])-ROW(INDEX(Tarefas[ID],1))+1)/(Tarefas[Status]=A$4),ROWS(A$6:A30)))&amp;CHAR(10)&amp;INDEX(Tarefas[Prioridade],_xlfn.AGGREGATE(15,6,(ROW(Tarefas[ID])-ROW(INDEX(Tarefas[ID],1))+1)/(Tarefas[Status]=A$4),ROWS(A$6:A30)))&amp;" · "&amp;INDEX(Tarefas[Responsável],_xlfn.AGGREGATE(15,6,(ROW(Tarefas[ID])-ROW(INDEX(Tarefas[ID],1))+1)/(Tarefas[Status]=A$4),ROWS(A$6:A30)))&amp;CHAR(10)&amp;IF(INDEX(Tarefas[Prazo],_xlfn.AGGREGATE(15,6,(ROW(Tarefas[ID])-ROW(INDEX(Tarefas[ID],1))+1)/(Tarefas[Status]=A$4),ROWS(A$6:A30)))=0,"Sem prazo",TEXT(INDEX(Tarefas[Prazo],_xlfn.AGGREGATE(15,6,(ROW(Tarefas[ID])-ROW(INDEX(Tarefas[ID],1))+1)/(Tarefas[Status]=A$4),ROWS(A$6:A30))),"dd/mm/yyyy")),"")</f>
        <v/>
      </c>
      <c r="B30" s="18" t="str">
        <f>IFERROR(INDEX(Tarefas[ID],_xlfn.AGGREGATE(15,6,(ROW(Tarefas[ID])-ROW(INDEX(Tarefas[ID],1))+1)/(Tarefas[Status]=B$4),ROWS(B$6:B30)))&amp;" | "&amp;INDEX(Tarefas[Tarefa],_xlfn.AGGREGATE(15,6,(ROW(Tarefas[ID])-ROW(INDEX(Tarefas[ID],1))+1)/(Tarefas[Status]=B$4),ROWS(B$6:B30)))&amp;CHAR(10)&amp;INDEX(Tarefas[Prioridade],_xlfn.AGGREGATE(15,6,(ROW(Tarefas[ID])-ROW(INDEX(Tarefas[ID],1))+1)/(Tarefas[Status]=B$4),ROWS(B$6:B30)))&amp;" · "&amp;INDEX(Tarefas[Responsável],_xlfn.AGGREGATE(15,6,(ROW(Tarefas[ID])-ROW(INDEX(Tarefas[ID],1))+1)/(Tarefas[Status]=B$4),ROWS(B$6:B30)))&amp;CHAR(10)&amp;IF(INDEX(Tarefas[Prazo],_xlfn.AGGREGATE(15,6,(ROW(Tarefas[ID])-ROW(INDEX(Tarefas[ID],1))+1)/(Tarefas[Status]=B$4),ROWS(B$6:B30)))=0,"Sem prazo",TEXT(INDEX(Tarefas[Prazo],_xlfn.AGGREGATE(15,6,(ROW(Tarefas[ID])-ROW(INDEX(Tarefas[ID],1))+1)/(Tarefas[Status]=B$4),ROWS(B$6:B30))),"dd/mm/yyyy")),"")</f>
        <v/>
      </c>
      <c r="C30" s="18" t="str">
        <f>IFERROR(INDEX(Tarefas[ID],_xlfn.AGGREGATE(15,6,(ROW(Tarefas[ID])-ROW(INDEX(Tarefas[ID],1))+1)/(Tarefas[Status]=C$4),ROWS(C$6:C30)))&amp;" | "&amp;INDEX(Tarefas[Tarefa],_xlfn.AGGREGATE(15,6,(ROW(Tarefas[ID])-ROW(INDEX(Tarefas[ID],1))+1)/(Tarefas[Status]=C$4),ROWS(C$6:C30)))&amp;CHAR(10)&amp;INDEX(Tarefas[Prioridade],_xlfn.AGGREGATE(15,6,(ROW(Tarefas[ID])-ROW(INDEX(Tarefas[ID],1))+1)/(Tarefas[Status]=C$4),ROWS(C$6:C30)))&amp;" · "&amp;INDEX(Tarefas[Responsável],_xlfn.AGGREGATE(15,6,(ROW(Tarefas[ID])-ROW(INDEX(Tarefas[ID],1))+1)/(Tarefas[Status]=C$4),ROWS(C$6:C30)))&amp;CHAR(10)&amp;IF(INDEX(Tarefas[Prazo],_xlfn.AGGREGATE(15,6,(ROW(Tarefas[ID])-ROW(INDEX(Tarefas[ID],1))+1)/(Tarefas[Status]=C$4),ROWS(C$6:C30)))=0,"Sem prazo",TEXT(INDEX(Tarefas[Prazo],_xlfn.AGGREGATE(15,6,(ROW(Tarefas[ID])-ROW(INDEX(Tarefas[ID],1))+1)/(Tarefas[Status]=C$4),ROWS(C$6:C30))),"dd/mm/yyyy")),"")</f>
        <v/>
      </c>
      <c r="D30" s="18" t="str">
        <f>IFERROR(INDEX(Tarefas[ID],_xlfn.AGGREGATE(15,6,(ROW(Tarefas[ID])-ROW(INDEX(Tarefas[ID],1))+1)/(Tarefas[Status]=D$4),ROWS(D$6:D30)))&amp;" | "&amp;INDEX(Tarefas[Tarefa],_xlfn.AGGREGATE(15,6,(ROW(Tarefas[ID])-ROW(INDEX(Tarefas[ID],1))+1)/(Tarefas[Status]=D$4),ROWS(D$6:D30)))&amp;CHAR(10)&amp;INDEX(Tarefas[Prioridade],_xlfn.AGGREGATE(15,6,(ROW(Tarefas[ID])-ROW(INDEX(Tarefas[ID],1))+1)/(Tarefas[Status]=D$4),ROWS(D$6:D30)))&amp;" · "&amp;INDEX(Tarefas[Responsável],_xlfn.AGGREGATE(15,6,(ROW(Tarefas[ID])-ROW(INDEX(Tarefas[ID],1))+1)/(Tarefas[Status]=D$4),ROWS(D$6:D30)))&amp;CHAR(10)&amp;IF(INDEX(Tarefas[Prazo],_xlfn.AGGREGATE(15,6,(ROW(Tarefas[ID])-ROW(INDEX(Tarefas[ID],1))+1)/(Tarefas[Status]=D$4),ROWS(D$6:D30)))=0,"Sem prazo",TEXT(INDEX(Tarefas[Prazo],_xlfn.AGGREGATE(15,6,(ROW(Tarefas[ID])-ROW(INDEX(Tarefas[ID],1))+1)/(Tarefas[Status]=D$4),ROWS(D$6:D30))),"dd/mm/yyyy")),"")</f>
        <v/>
      </c>
      <c r="E30" s="18" t="str">
        <f>IFERROR(INDEX(Tarefas[ID],_xlfn.AGGREGATE(15,6,(ROW(Tarefas[ID])-ROW(INDEX(Tarefas[ID],1))+1)/(Tarefas[Status]=E$4),ROWS(E$6:E30)))&amp;" | "&amp;INDEX(Tarefas[Tarefa],_xlfn.AGGREGATE(15,6,(ROW(Tarefas[ID])-ROW(INDEX(Tarefas[ID],1))+1)/(Tarefas[Status]=E$4),ROWS(E$6:E30)))&amp;CHAR(10)&amp;INDEX(Tarefas[Prioridade],_xlfn.AGGREGATE(15,6,(ROW(Tarefas[ID])-ROW(INDEX(Tarefas[ID],1))+1)/(Tarefas[Status]=E$4),ROWS(E$6:E30)))&amp;" · "&amp;INDEX(Tarefas[Responsável],_xlfn.AGGREGATE(15,6,(ROW(Tarefas[ID])-ROW(INDEX(Tarefas[ID],1))+1)/(Tarefas[Status]=E$4),ROWS(E$6:E30)))&amp;CHAR(10)&amp;IF(INDEX(Tarefas[Prazo],_xlfn.AGGREGATE(15,6,(ROW(Tarefas[ID])-ROW(INDEX(Tarefas[ID],1))+1)/(Tarefas[Status]=E$4),ROWS(E$6:E30)))=0,"Sem prazo",TEXT(INDEX(Tarefas[Prazo],_xlfn.AGGREGATE(15,6,(ROW(Tarefas[ID])-ROW(INDEX(Tarefas[ID],1))+1)/(Tarefas[Status]=E$4),ROWS(E$6:E30))),"dd/mm/yyyy")),"")</f>
        <v/>
      </c>
      <c r="F30" s="18" t="str">
        <f>IFERROR(INDEX(Tarefas[ID],_xlfn.AGGREGATE(15,6,(ROW(Tarefas[ID])-ROW(INDEX(Tarefas[ID],1))+1)/(Tarefas[Status]=F$4),ROWS(F$6:F30)))&amp;" | "&amp;INDEX(Tarefas[Tarefa],_xlfn.AGGREGATE(15,6,(ROW(Tarefas[ID])-ROW(INDEX(Tarefas[ID],1))+1)/(Tarefas[Status]=F$4),ROWS(F$6:F30)))&amp;CHAR(10)&amp;INDEX(Tarefas[Prioridade],_xlfn.AGGREGATE(15,6,(ROW(Tarefas[ID])-ROW(INDEX(Tarefas[ID],1))+1)/(Tarefas[Status]=F$4),ROWS(F$6:F30)))&amp;" · "&amp;INDEX(Tarefas[Responsável],_xlfn.AGGREGATE(15,6,(ROW(Tarefas[ID])-ROW(INDEX(Tarefas[ID],1))+1)/(Tarefas[Status]=F$4),ROWS(F$6:F30)))&amp;CHAR(10)&amp;IF(INDEX(Tarefas[Prazo],_xlfn.AGGREGATE(15,6,(ROW(Tarefas[ID])-ROW(INDEX(Tarefas[ID],1))+1)/(Tarefas[Status]=F$4),ROWS(F$6:F30)))=0,"Sem prazo",TEXT(INDEX(Tarefas[Prazo],_xlfn.AGGREGATE(15,6,(ROW(Tarefas[ID])-ROW(INDEX(Tarefas[ID],1))+1)/(Tarefas[Status]=F$4),ROWS(F$6:F30))),"dd/mm/yyyy")),"")</f>
        <v/>
      </c>
    </row>
    <row r="31" spans="1:6" ht="93.95" customHeight="1" x14ac:dyDescent="0.25">
      <c r="A31" s="19" t="str">
        <f>IFERROR(INDEX(Tarefas[ID],_xlfn.AGGREGATE(15,6,(ROW(Tarefas[ID])-ROW(INDEX(Tarefas[ID],1))+1)/(Tarefas[Status]=A$4),ROWS(A$6:A31)))&amp;" | "&amp;INDEX(Tarefas[Tarefa],_xlfn.AGGREGATE(15,6,(ROW(Tarefas[ID])-ROW(INDEX(Tarefas[ID],1))+1)/(Tarefas[Status]=A$4),ROWS(A$6:A31)))&amp;CHAR(10)&amp;INDEX(Tarefas[Prioridade],_xlfn.AGGREGATE(15,6,(ROW(Tarefas[ID])-ROW(INDEX(Tarefas[ID],1))+1)/(Tarefas[Status]=A$4),ROWS(A$6:A31)))&amp;" · "&amp;INDEX(Tarefas[Responsável],_xlfn.AGGREGATE(15,6,(ROW(Tarefas[ID])-ROW(INDEX(Tarefas[ID],1))+1)/(Tarefas[Status]=A$4),ROWS(A$6:A31)))&amp;CHAR(10)&amp;IF(INDEX(Tarefas[Prazo],_xlfn.AGGREGATE(15,6,(ROW(Tarefas[ID])-ROW(INDEX(Tarefas[ID],1))+1)/(Tarefas[Status]=A$4),ROWS(A$6:A31)))=0,"Sem prazo",TEXT(INDEX(Tarefas[Prazo],_xlfn.AGGREGATE(15,6,(ROW(Tarefas[ID])-ROW(INDEX(Tarefas[ID],1))+1)/(Tarefas[Status]=A$4),ROWS(A$6:A31))),"dd/mm/yyyy")),"")</f>
        <v/>
      </c>
      <c r="B31" s="19" t="str">
        <f>IFERROR(INDEX(Tarefas[ID],_xlfn.AGGREGATE(15,6,(ROW(Tarefas[ID])-ROW(INDEX(Tarefas[ID],1))+1)/(Tarefas[Status]=B$4),ROWS(B$6:B31)))&amp;" | "&amp;INDEX(Tarefas[Tarefa],_xlfn.AGGREGATE(15,6,(ROW(Tarefas[ID])-ROW(INDEX(Tarefas[ID],1))+1)/(Tarefas[Status]=B$4),ROWS(B$6:B31)))&amp;CHAR(10)&amp;INDEX(Tarefas[Prioridade],_xlfn.AGGREGATE(15,6,(ROW(Tarefas[ID])-ROW(INDEX(Tarefas[ID],1))+1)/(Tarefas[Status]=B$4),ROWS(B$6:B31)))&amp;" · "&amp;INDEX(Tarefas[Responsável],_xlfn.AGGREGATE(15,6,(ROW(Tarefas[ID])-ROW(INDEX(Tarefas[ID],1))+1)/(Tarefas[Status]=B$4),ROWS(B$6:B31)))&amp;CHAR(10)&amp;IF(INDEX(Tarefas[Prazo],_xlfn.AGGREGATE(15,6,(ROW(Tarefas[ID])-ROW(INDEX(Tarefas[ID],1))+1)/(Tarefas[Status]=B$4),ROWS(B$6:B31)))=0,"Sem prazo",TEXT(INDEX(Tarefas[Prazo],_xlfn.AGGREGATE(15,6,(ROW(Tarefas[ID])-ROW(INDEX(Tarefas[ID],1))+1)/(Tarefas[Status]=B$4),ROWS(B$6:B31))),"dd/mm/yyyy")),"")</f>
        <v/>
      </c>
      <c r="C31" s="19" t="str">
        <f>IFERROR(INDEX(Tarefas[ID],_xlfn.AGGREGATE(15,6,(ROW(Tarefas[ID])-ROW(INDEX(Tarefas[ID],1))+1)/(Tarefas[Status]=C$4),ROWS(C$6:C31)))&amp;" | "&amp;INDEX(Tarefas[Tarefa],_xlfn.AGGREGATE(15,6,(ROW(Tarefas[ID])-ROW(INDEX(Tarefas[ID],1))+1)/(Tarefas[Status]=C$4),ROWS(C$6:C31)))&amp;CHAR(10)&amp;INDEX(Tarefas[Prioridade],_xlfn.AGGREGATE(15,6,(ROW(Tarefas[ID])-ROW(INDEX(Tarefas[ID],1))+1)/(Tarefas[Status]=C$4),ROWS(C$6:C31)))&amp;" · "&amp;INDEX(Tarefas[Responsável],_xlfn.AGGREGATE(15,6,(ROW(Tarefas[ID])-ROW(INDEX(Tarefas[ID],1))+1)/(Tarefas[Status]=C$4),ROWS(C$6:C31)))&amp;CHAR(10)&amp;IF(INDEX(Tarefas[Prazo],_xlfn.AGGREGATE(15,6,(ROW(Tarefas[ID])-ROW(INDEX(Tarefas[ID],1))+1)/(Tarefas[Status]=C$4),ROWS(C$6:C31)))=0,"Sem prazo",TEXT(INDEX(Tarefas[Prazo],_xlfn.AGGREGATE(15,6,(ROW(Tarefas[ID])-ROW(INDEX(Tarefas[ID],1))+1)/(Tarefas[Status]=C$4),ROWS(C$6:C31))),"dd/mm/yyyy")),"")</f>
        <v/>
      </c>
      <c r="D31" s="19" t="str">
        <f>IFERROR(INDEX(Tarefas[ID],_xlfn.AGGREGATE(15,6,(ROW(Tarefas[ID])-ROW(INDEX(Tarefas[ID],1))+1)/(Tarefas[Status]=D$4),ROWS(D$6:D31)))&amp;" | "&amp;INDEX(Tarefas[Tarefa],_xlfn.AGGREGATE(15,6,(ROW(Tarefas[ID])-ROW(INDEX(Tarefas[ID],1))+1)/(Tarefas[Status]=D$4),ROWS(D$6:D31)))&amp;CHAR(10)&amp;INDEX(Tarefas[Prioridade],_xlfn.AGGREGATE(15,6,(ROW(Tarefas[ID])-ROW(INDEX(Tarefas[ID],1))+1)/(Tarefas[Status]=D$4),ROWS(D$6:D31)))&amp;" · "&amp;INDEX(Tarefas[Responsável],_xlfn.AGGREGATE(15,6,(ROW(Tarefas[ID])-ROW(INDEX(Tarefas[ID],1))+1)/(Tarefas[Status]=D$4),ROWS(D$6:D31)))&amp;CHAR(10)&amp;IF(INDEX(Tarefas[Prazo],_xlfn.AGGREGATE(15,6,(ROW(Tarefas[ID])-ROW(INDEX(Tarefas[ID],1))+1)/(Tarefas[Status]=D$4),ROWS(D$6:D31)))=0,"Sem prazo",TEXT(INDEX(Tarefas[Prazo],_xlfn.AGGREGATE(15,6,(ROW(Tarefas[ID])-ROW(INDEX(Tarefas[ID],1))+1)/(Tarefas[Status]=D$4),ROWS(D$6:D31))),"dd/mm/yyyy")),"")</f>
        <v/>
      </c>
      <c r="E31" s="19" t="str">
        <f>IFERROR(INDEX(Tarefas[ID],_xlfn.AGGREGATE(15,6,(ROW(Tarefas[ID])-ROW(INDEX(Tarefas[ID],1))+1)/(Tarefas[Status]=E$4),ROWS(E$6:E31)))&amp;" | "&amp;INDEX(Tarefas[Tarefa],_xlfn.AGGREGATE(15,6,(ROW(Tarefas[ID])-ROW(INDEX(Tarefas[ID],1))+1)/(Tarefas[Status]=E$4),ROWS(E$6:E31)))&amp;CHAR(10)&amp;INDEX(Tarefas[Prioridade],_xlfn.AGGREGATE(15,6,(ROW(Tarefas[ID])-ROW(INDEX(Tarefas[ID],1))+1)/(Tarefas[Status]=E$4),ROWS(E$6:E31)))&amp;" · "&amp;INDEX(Tarefas[Responsável],_xlfn.AGGREGATE(15,6,(ROW(Tarefas[ID])-ROW(INDEX(Tarefas[ID],1))+1)/(Tarefas[Status]=E$4),ROWS(E$6:E31)))&amp;CHAR(10)&amp;IF(INDEX(Tarefas[Prazo],_xlfn.AGGREGATE(15,6,(ROW(Tarefas[ID])-ROW(INDEX(Tarefas[ID],1))+1)/(Tarefas[Status]=E$4),ROWS(E$6:E31)))=0,"Sem prazo",TEXT(INDEX(Tarefas[Prazo],_xlfn.AGGREGATE(15,6,(ROW(Tarefas[ID])-ROW(INDEX(Tarefas[ID],1))+1)/(Tarefas[Status]=E$4),ROWS(E$6:E31))),"dd/mm/yyyy")),"")</f>
        <v/>
      </c>
      <c r="F31" s="19" t="str">
        <f>IFERROR(INDEX(Tarefas[ID],_xlfn.AGGREGATE(15,6,(ROW(Tarefas[ID])-ROW(INDEX(Tarefas[ID],1))+1)/(Tarefas[Status]=F$4),ROWS(F$6:F31)))&amp;" | "&amp;INDEX(Tarefas[Tarefa],_xlfn.AGGREGATE(15,6,(ROW(Tarefas[ID])-ROW(INDEX(Tarefas[ID],1))+1)/(Tarefas[Status]=F$4),ROWS(F$6:F31)))&amp;CHAR(10)&amp;INDEX(Tarefas[Prioridade],_xlfn.AGGREGATE(15,6,(ROW(Tarefas[ID])-ROW(INDEX(Tarefas[ID],1))+1)/(Tarefas[Status]=F$4),ROWS(F$6:F31)))&amp;" · "&amp;INDEX(Tarefas[Responsável],_xlfn.AGGREGATE(15,6,(ROW(Tarefas[ID])-ROW(INDEX(Tarefas[ID],1))+1)/(Tarefas[Status]=F$4),ROWS(F$6:F31)))&amp;CHAR(10)&amp;IF(INDEX(Tarefas[Prazo],_xlfn.AGGREGATE(15,6,(ROW(Tarefas[ID])-ROW(INDEX(Tarefas[ID],1))+1)/(Tarefas[Status]=F$4),ROWS(F$6:F31)))=0,"Sem prazo",TEXT(INDEX(Tarefas[Prazo],_xlfn.AGGREGATE(15,6,(ROW(Tarefas[ID])-ROW(INDEX(Tarefas[ID],1))+1)/(Tarefas[Status]=F$4),ROWS(F$6:F31))),"dd/mm/yyyy")),"")</f>
        <v/>
      </c>
    </row>
    <row r="32" spans="1:6" ht="93.95" customHeight="1" x14ac:dyDescent="0.25">
      <c r="A32" s="18" t="str">
        <f>IFERROR(INDEX(Tarefas[ID],_xlfn.AGGREGATE(15,6,(ROW(Tarefas[ID])-ROW(INDEX(Tarefas[ID],1))+1)/(Tarefas[Status]=A$4),ROWS(A$6:A32)))&amp;" | "&amp;INDEX(Tarefas[Tarefa],_xlfn.AGGREGATE(15,6,(ROW(Tarefas[ID])-ROW(INDEX(Tarefas[ID],1))+1)/(Tarefas[Status]=A$4),ROWS(A$6:A32)))&amp;CHAR(10)&amp;INDEX(Tarefas[Prioridade],_xlfn.AGGREGATE(15,6,(ROW(Tarefas[ID])-ROW(INDEX(Tarefas[ID],1))+1)/(Tarefas[Status]=A$4),ROWS(A$6:A32)))&amp;" · "&amp;INDEX(Tarefas[Responsável],_xlfn.AGGREGATE(15,6,(ROW(Tarefas[ID])-ROW(INDEX(Tarefas[ID],1))+1)/(Tarefas[Status]=A$4),ROWS(A$6:A32)))&amp;CHAR(10)&amp;IF(INDEX(Tarefas[Prazo],_xlfn.AGGREGATE(15,6,(ROW(Tarefas[ID])-ROW(INDEX(Tarefas[ID],1))+1)/(Tarefas[Status]=A$4),ROWS(A$6:A32)))=0,"Sem prazo",TEXT(INDEX(Tarefas[Prazo],_xlfn.AGGREGATE(15,6,(ROW(Tarefas[ID])-ROW(INDEX(Tarefas[ID],1))+1)/(Tarefas[Status]=A$4),ROWS(A$6:A32))),"dd/mm/yyyy")),"")</f>
        <v/>
      </c>
      <c r="B32" s="18" t="str">
        <f>IFERROR(INDEX(Tarefas[ID],_xlfn.AGGREGATE(15,6,(ROW(Tarefas[ID])-ROW(INDEX(Tarefas[ID],1))+1)/(Tarefas[Status]=B$4),ROWS(B$6:B32)))&amp;" | "&amp;INDEX(Tarefas[Tarefa],_xlfn.AGGREGATE(15,6,(ROW(Tarefas[ID])-ROW(INDEX(Tarefas[ID],1))+1)/(Tarefas[Status]=B$4),ROWS(B$6:B32)))&amp;CHAR(10)&amp;INDEX(Tarefas[Prioridade],_xlfn.AGGREGATE(15,6,(ROW(Tarefas[ID])-ROW(INDEX(Tarefas[ID],1))+1)/(Tarefas[Status]=B$4),ROWS(B$6:B32)))&amp;" · "&amp;INDEX(Tarefas[Responsável],_xlfn.AGGREGATE(15,6,(ROW(Tarefas[ID])-ROW(INDEX(Tarefas[ID],1))+1)/(Tarefas[Status]=B$4),ROWS(B$6:B32)))&amp;CHAR(10)&amp;IF(INDEX(Tarefas[Prazo],_xlfn.AGGREGATE(15,6,(ROW(Tarefas[ID])-ROW(INDEX(Tarefas[ID],1))+1)/(Tarefas[Status]=B$4),ROWS(B$6:B32)))=0,"Sem prazo",TEXT(INDEX(Tarefas[Prazo],_xlfn.AGGREGATE(15,6,(ROW(Tarefas[ID])-ROW(INDEX(Tarefas[ID],1))+1)/(Tarefas[Status]=B$4),ROWS(B$6:B32))),"dd/mm/yyyy")),"")</f>
        <v/>
      </c>
      <c r="C32" s="18" t="str">
        <f>IFERROR(INDEX(Tarefas[ID],_xlfn.AGGREGATE(15,6,(ROW(Tarefas[ID])-ROW(INDEX(Tarefas[ID],1))+1)/(Tarefas[Status]=C$4),ROWS(C$6:C32)))&amp;" | "&amp;INDEX(Tarefas[Tarefa],_xlfn.AGGREGATE(15,6,(ROW(Tarefas[ID])-ROW(INDEX(Tarefas[ID],1))+1)/(Tarefas[Status]=C$4),ROWS(C$6:C32)))&amp;CHAR(10)&amp;INDEX(Tarefas[Prioridade],_xlfn.AGGREGATE(15,6,(ROW(Tarefas[ID])-ROW(INDEX(Tarefas[ID],1))+1)/(Tarefas[Status]=C$4),ROWS(C$6:C32)))&amp;" · "&amp;INDEX(Tarefas[Responsável],_xlfn.AGGREGATE(15,6,(ROW(Tarefas[ID])-ROW(INDEX(Tarefas[ID],1))+1)/(Tarefas[Status]=C$4),ROWS(C$6:C32)))&amp;CHAR(10)&amp;IF(INDEX(Tarefas[Prazo],_xlfn.AGGREGATE(15,6,(ROW(Tarefas[ID])-ROW(INDEX(Tarefas[ID],1))+1)/(Tarefas[Status]=C$4),ROWS(C$6:C32)))=0,"Sem prazo",TEXT(INDEX(Tarefas[Prazo],_xlfn.AGGREGATE(15,6,(ROW(Tarefas[ID])-ROW(INDEX(Tarefas[ID],1))+1)/(Tarefas[Status]=C$4),ROWS(C$6:C32))),"dd/mm/yyyy")),"")</f>
        <v/>
      </c>
      <c r="D32" s="18" t="str">
        <f>IFERROR(INDEX(Tarefas[ID],_xlfn.AGGREGATE(15,6,(ROW(Tarefas[ID])-ROW(INDEX(Tarefas[ID],1))+1)/(Tarefas[Status]=D$4),ROWS(D$6:D32)))&amp;" | "&amp;INDEX(Tarefas[Tarefa],_xlfn.AGGREGATE(15,6,(ROW(Tarefas[ID])-ROW(INDEX(Tarefas[ID],1))+1)/(Tarefas[Status]=D$4),ROWS(D$6:D32)))&amp;CHAR(10)&amp;INDEX(Tarefas[Prioridade],_xlfn.AGGREGATE(15,6,(ROW(Tarefas[ID])-ROW(INDEX(Tarefas[ID],1))+1)/(Tarefas[Status]=D$4),ROWS(D$6:D32)))&amp;" · "&amp;INDEX(Tarefas[Responsável],_xlfn.AGGREGATE(15,6,(ROW(Tarefas[ID])-ROW(INDEX(Tarefas[ID],1))+1)/(Tarefas[Status]=D$4),ROWS(D$6:D32)))&amp;CHAR(10)&amp;IF(INDEX(Tarefas[Prazo],_xlfn.AGGREGATE(15,6,(ROW(Tarefas[ID])-ROW(INDEX(Tarefas[ID],1))+1)/(Tarefas[Status]=D$4),ROWS(D$6:D32)))=0,"Sem prazo",TEXT(INDEX(Tarefas[Prazo],_xlfn.AGGREGATE(15,6,(ROW(Tarefas[ID])-ROW(INDEX(Tarefas[ID],1))+1)/(Tarefas[Status]=D$4),ROWS(D$6:D32))),"dd/mm/yyyy")),"")</f>
        <v/>
      </c>
      <c r="E32" s="18" t="str">
        <f>IFERROR(INDEX(Tarefas[ID],_xlfn.AGGREGATE(15,6,(ROW(Tarefas[ID])-ROW(INDEX(Tarefas[ID],1))+1)/(Tarefas[Status]=E$4),ROWS(E$6:E32)))&amp;" | "&amp;INDEX(Tarefas[Tarefa],_xlfn.AGGREGATE(15,6,(ROW(Tarefas[ID])-ROW(INDEX(Tarefas[ID],1))+1)/(Tarefas[Status]=E$4),ROWS(E$6:E32)))&amp;CHAR(10)&amp;INDEX(Tarefas[Prioridade],_xlfn.AGGREGATE(15,6,(ROW(Tarefas[ID])-ROW(INDEX(Tarefas[ID],1))+1)/(Tarefas[Status]=E$4),ROWS(E$6:E32)))&amp;" · "&amp;INDEX(Tarefas[Responsável],_xlfn.AGGREGATE(15,6,(ROW(Tarefas[ID])-ROW(INDEX(Tarefas[ID],1))+1)/(Tarefas[Status]=E$4),ROWS(E$6:E32)))&amp;CHAR(10)&amp;IF(INDEX(Tarefas[Prazo],_xlfn.AGGREGATE(15,6,(ROW(Tarefas[ID])-ROW(INDEX(Tarefas[ID],1))+1)/(Tarefas[Status]=E$4),ROWS(E$6:E32)))=0,"Sem prazo",TEXT(INDEX(Tarefas[Prazo],_xlfn.AGGREGATE(15,6,(ROW(Tarefas[ID])-ROW(INDEX(Tarefas[ID],1))+1)/(Tarefas[Status]=E$4),ROWS(E$6:E32))),"dd/mm/yyyy")),"")</f>
        <v/>
      </c>
      <c r="F32" s="18" t="str">
        <f>IFERROR(INDEX(Tarefas[ID],_xlfn.AGGREGATE(15,6,(ROW(Tarefas[ID])-ROW(INDEX(Tarefas[ID],1))+1)/(Tarefas[Status]=F$4),ROWS(F$6:F32)))&amp;" | "&amp;INDEX(Tarefas[Tarefa],_xlfn.AGGREGATE(15,6,(ROW(Tarefas[ID])-ROW(INDEX(Tarefas[ID],1))+1)/(Tarefas[Status]=F$4),ROWS(F$6:F32)))&amp;CHAR(10)&amp;INDEX(Tarefas[Prioridade],_xlfn.AGGREGATE(15,6,(ROW(Tarefas[ID])-ROW(INDEX(Tarefas[ID],1))+1)/(Tarefas[Status]=F$4),ROWS(F$6:F32)))&amp;" · "&amp;INDEX(Tarefas[Responsável],_xlfn.AGGREGATE(15,6,(ROW(Tarefas[ID])-ROW(INDEX(Tarefas[ID],1))+1)/(Tarefas[Status]=F$4),ROWS(F$6:F32)))&amp;CHAR(10)&amp;IF(INDEX(Tarefas[Prazo],_xlfn.AGGREGATE(15,6,(ROW(Tarefas[ID])-ROW(INDEX(Tarefas[ID],1))+1)/(Tarefas[Status]=F$4),ROWS(F$6:F32)))=0,"Sem prazo",TEXT(INDEX(Tarefas[Prazo],_xlfn.AGGREGATE(15,6,(ROW(Tarefas[ID])-ROW(INDEX(Tarefas[ID],1))+1)/(Tarefas[Status]=F$4),ROWS(F$6:F32))),"dd/mm/yyyy")),"")</f>
        <v/>
      </c>
    </row>
    <row r="33" spans="1:6" ht="93.95" customHeight="1" x14ac:dyDescent="0.25">
      <c r="A33" s="19" t="str">
        <f>IFERROR(INDEX(Tarefas[ID],_xlfn.AGGREGATE(15,6,(ROW(Tarefas[ID])-ROW(INDEX(Tarefas[ID],1))+1)/(Tarefas[Status]=A$4),ROWS(A$6:A33)))&amp;" | "&amp;INDEX(Tarefas[Tarefa],_xlfn.AGGREGATE(15,6,(ROW(Tarefas[ID])-ROW(INDEX(Tarefas[ID],1))+1)/(Tarefas[Status]=A$4),ROWS(A$6:A33)))&amp;CHAR(10)&amp;INDEX(Tarefas[Prioridade],_xlfn.AGGREGATE(15,6,(ROW(Tarefas[ID])-ROW(INDEX(Tarefas[ID],1))+1)/(Tarefas[Status]=A$4),ROWS(A$6:A33)))&amp;" · "&amp;INDEX(Tarefas[Responsável],_xlfn.AGGREGATE(15,6,(ROW(Tarefas[ID])-ROW(INDEX(Tarefas[ID],1))+1)/(Tarefas[Status]=A$4),ROWS(A$6:A33)))&amp;CHAR(10)&amp;IF(INDEX(Tarefas[Prazo],_xlfn.AGGREGATE(15,6,(ROW(Tarefas[ID])-ROW(INDEX(Tarefas[ID],1))+1)/(Tarefas[Status]=A$4),ROWS(A$6:A33)))=0,"Sem prazo",TEXT(INDEX(Tarefas[Prazo],_xlfn.AGGREGATE(15,6,(ROW(Tarefas[ID])-ROW(INDEX(Tarefas[ID],1))+1)/(Tarefas[Status]=A$4),ROWS(A$6:A33))),"dd/mm/yyyy")),"")</f>
        <v/>
      </c>
      <c r="B33" s="19" t="str">
        <f>IFERROR(INDEX(Tarefas[ID],_xlfn.AGGREGATE(15,6,(ROW(Tarefas[ID])-ROW(INDEX(Tarefas[ID],1))+1)/(Tarefas[Status]=B$4),ROWS(B$6:B33)))&amp;" | "&amp;INDEX(Tarefas[Tarefa],_xlfn.AGGREGATE(15,6,(ROW(Tarefas[ID])-ROW(INDEX(Tarefas[ID],1))+1)/(Tarefas[Status]=B$4),ROWS(B$6:B33)))&amp;CHAR(10)&amp;INDEX(Tarefas[Prioridade],_xlfn.AGGREGATE(15,6,(ROW(Tarefas[ID])-ROW(INDEX(Tarefas[ID],1))+1)/(Tarefas[Status]=B$4),ROWS(B$6:B33)))&amp;" · "&amp;INDEX(Tarefas[Responsável],_xlfn.AGGREGATE(15,6,(ROW(Tarefas[ID])-ROW(INDEX(Tarefas[ID],1))+1)/(Tarefas[Status]=B$4),ROWS(B$6:B33)))&amp;CHAR(10)&amp;IF(INDEX(Tarefas[Prazo],_xlfn.AGGREGATE(15,6,(ROW(Tarefas[ID])-ROW(INDEX(Tarefas[ID],1))+1)/(Tarefas[Status]=B$4),ROWS(B$6:B33)))=0,"Sem prazo",TEXT(INDEX(Tarefas[Prazo],_xlfn.AGGREGATE(15,6,(ROW(Tarefas[ID])-ROW(INDEX(Tarefas[ID],1))+1)/(Tarefas[Status]=B$4),ROWS(B$6:B33))),"dd/mm/yyyy")),"")</f>
        <v/>
      </c>
      <c r="C33" s="19" t="str">
        <f>IFERROR(INDEX(Tarefas[ID],_xlfn.AGGREGATE(15,6,(ROW(Tarefas[ID])-ROW(INDEX(Tarefas[ID],1))+1)/(Tarefas[Status]=C$4),ROWS(C$6:C33)))&amp;" | "&amp;INDEX(Tarefas[Tarefa],_xlfn.AGGREGATE(15,6,(ROW(Tarefas[ID])-ROW(INDEX(Tarefas[ID],1))+1)/(Tarefas[Status]=C$4),ROWS(C$6:C33)))&amp;CHAR(10)&amp;INDEX(Tarefas[Prioridade],_xlfn.AGGREGATE(15,6,(ROW(Tarefas[ID])-ROW(INDEX(Tarefas[ID],1))+1)/(Tarefas[Status]=C$4),ROWS(C$6:C33)))&amp;" · "&amp;INDEX(Tarefas[Responsável],_xlfn.AGGREGATE(15,6,(ROW(Tarefas[ID])-ROW(INDEX(Tarefas[ID],1))+1)/(Tarefas[Status]=C$4),ROWS(C$6:C33)))&amp;CHAR(10)&amp;IF(INDEX(Tarefas[Prazo],_xlfn.AGGREGATE(15,6,(ROW(Tarefas[ID])-ROW(INDEX(Tarefas[ID],1))+1)/(Tarefas[Status]=C$4),ROWS(C$6:C33)))=0,"Sem prazo",TEXT(INDEX(Tarefas[Prazo],_xlfn.AGGREGATE(15,6,(ROW(Tarefas[ID])-ROW(INDEX(Tarefas[ID],1))+1)/(Tarefas[Status]=C$4),ROWS(C$6:C33))),"dd/mm/yyyy")),"")</f>
        <v/>
      </c>
      <c r="D33" s="19" t="str">
        <f>IFERROR(INDEX(Tarefas[ID],_xlfn.AGGREGATE(15,6,(ROW(Tarefas[ID])-ROW(INDEX(Tarefas[ID],1))+1)/(Tarefas[Status]=D$4),ROWS(D$6:D33)))&amp;" | "&amp;INDEX(Tarefas[Tarefa],_xlfn.AGGREGATE(15,6,(ROW(Tarefas[ID])-ROW(INDEX(Tarefas[ID],1))+1)/(Tarefas[Status]=D$4),ROWS(D$6:D33)))&amp;CHAR(10)&amp;INDEX(Tarefas[Prioridade],_xlfn.AGGREGATE(15,6,(ROW(Tarefas[ID])-ROW(INDEX(Tarefas[ID],1))+1)/(Tarefas[Status]=D$4),ROWS(D$6:D33)))&amp;" · "&amp;INDEX(Tarefas[Responsável],_xlfn.AGGREGATE(15,6,(ROW(Tarefas[ID])-ROW(INDEX(Tarefas[ID],1))+1)/(Tarefas[Status]=D$4),ROWS(D$6:D33)))&amp;CHAR(10)&amp;IF(INDEX(Tarefas[Prazo],_xlfn.AGGREGATE(15,6,(ROW(Tarefas[ID])-ROW(INDEX(Tarefas[ID],1))+1)/(Tarefas[Status]=D$4),ROWS(D$6:D33)))=0,"Sem prazo",TEXT(INDEX(Tarefas[Prazo],_xlfn.AGGREGATE(15,6,(ROW(Tarefas[ID])-ROW(INDEX(Tarefas[ID],1))+1)/(Tarefas[Status]=D$4),ROWS(D$6:D33))),"dd/mm/yyyy")),"")</f>
        <v/>
      </c>
      <c r="E33" s="19" t="str">
        <f>IFERROR(INDEX(Tarefas[ID],_xlfn.AGGREGATE(15,6,(ROW(Tarefas[ID])-ROW(INDEX(Tarefas[ID],1))+1)/(Tarefas[Status]=E$4),ROWS(E$6:E33)))&amp;" | "&amp;INDEX(Tarefas[Tarefa],_xlfn.AGGREGATE(15,6,(ROW(Tarefas[ID])-ROW(INDEX(Tarefas[ID],1))+1)/(Tarefas[Status]=E$4),ROWS(E$6:E33)))&amp;CHAR(10)&amp;INDEX(Tarefas[Prioridade],_xlfn.AGGREGATE(15,6,(ROW(Tarefas[ID])-ROW(INDEX(Tarefas[ID],1))+1)/(Tarefas[Status]=E$4),ROWS(E$6:E33)))&amp;" · "&amp;INDEX(Tarefas[Responsável],_xlfn.AGGREGATE(15,6,(ROW(Tarefas[ID])-ROW(INDEX(Tarefas[ID],1))+1)/(Tarefas[Status]=E$4),ROWS(E$6:E33)))&amp;CHAR(10)&amp;IF(INDEX(Tarefas[Prazo],_xlfn.AGGREGATE(15,6,(ROW(Tarefas[ID])-ROW(INDEX(Tarefas[ID],1))+1)/(Tarefas[Status]=E$4),ROWS(E$6:E33)))=0,"Sem prazo",TEXT(INDEX(Tarefas[Prazo],_xlfn.AGGREGATE(15,6,(ROW(Tarefas[ID])-ROW(INDEX(Tarefas[ID],1))+1)/(Tarefas[Status]=E$4),ROWS(E$6:E33))),"dd/mm/yyyy")),"")</f>
        <v/>
      </c>
      <c r="F33" s="19" t="str">
        <f>IFERROR(INDEX(Tarefas[ID],_xlfn.AGGREGATE(15,6,(ROW(Tarefas[ID])-ROW(INDEX(Tarefas[ID],1))+1)/(Tarefas[Status]=F$4),ROWS(F$6:F33)))&amp;" | "&amp;INDEX(Tarefas[Tarefa],_xlfn.AGGREGATE(15,6,(ROW(Tarefas[ID])-ROW(INDEX(Tarefas[ID],1))+1)/(Tarefas[Status]=F$4),ROWS(F$6:F33)))&amp;CHAR(10)&amp;INDEX(Tarefas[Prioridade],_xlfn.AGGREGATE(15,6,(ROW(Tarefas[ID])-ROW(INDEX(Tarefas[ID],1))+1)/(Tarefas[Status]=F$4),ROWS(F$6:F33)))&amp;" · "&amp;INDEX(Tarefas[Responsável],_xlfn.AGGREGATE(15,6,(ROW(Tarefas[ID])-ROW(INDEX(Tarefas[ID],1))+1)/(Tarefas[Status]=F$4),ROWS(F$6:F33)))&amp;CHAR(10)&amp;IF(INDEX(Tarefas[Prazo],_xlfn.AGGREGATE(15,6,(ROW(Tarefas[ID])-ROW(INDEX(Tarefas[ID],1))+1)/(Tarefas[Status]=F$4),ROWS(F$6:F33)))=0,"Sem prazo",TEXT(INDEX(Tarefas[Prazo],_xlfn.AGGREGATE(15,6,(ROW(Tarefas[ID])-ROW(INDEX(Tarefas[ID],1))+1)/(Tarefas[Status]=F$4),ROWS(F$6:F33))),"dd/mm/yyyy")),"")</f>
        <v/>
      </c>
    </row>
    <row r="34" spans="1:6" ht="93.95" customHeight="1" x14ac:dyDescent="0.25">
      <c r="A34" s="18" t="str">
        <f>IFERROR(INDEX(Tarefas[ID],_xlfn.AGGREGATE(15,6,(ROW(Tarefas[ID])-ROW(INDEX(Tarefas[ID],1))+1)/(Tarefas[Status]=A$4),ROWS(A$6:A34)))&amp;" | "&amp;INDEX(Tarefas[Tarefa],_xlfn.AGGREGATE(15,6,(ROW(Tarefas[ID])-ROW(INDEX(Tarefas[ID],1))+1)/(Tarefas[Status]=A$4),ROWS(A$6:A34)))&amp;CHAR(10)&amp;INDEX(Tarefas[Prioridade],_xlfn.AGGREGATE(15,6,(ROW(Tarefas[ID])-ROW(INDEX(Tarefas[ID],1))+1)/(Tarefas[Status]=A$4),ROWS(A$6:A34)))&amp;" · "&amp;INDEX(Tarefas[Responsável],_xlfn.AGGREGATE(15,6,(ROW(Tarefas[ID])-ROW(INDEX(Tarefas[ID],1))+1)/(Tarefas[Status]=A$4),ROWS(A$6:A34)))&amp;CHAR(10)&amp;IF(INDEX(Tarefas[Prazo],_xlfn.AGGREGATE(15,6,(ROW(Tarefas[ID])-ROW(INDEX(Tarefas[ID],1))+1)/(Tarefas[Status]=A$4),ROWS(A$6:A34)))=0,"Sem prazo",TEXT(INDEX(Tarefas[Prazo],_xlfn.AGGREGATE(15,6,(ROW(Tarefas[ID])-ROW(INDEX(Tarefas[ID],1))+1)/(Tarefas[Status]=A$4),ROWS(A$6:A34))),"dd/mm/yyyy")),"")</f>
        <v/>
      </c>
      <c r="B34" s="18" t="str">
        <f>IFERROR(INDEX(Tarefas[ID],_xlfn.AGGREGATE(15,6,(ROW(Tarefas[ID])-ROW(INDEX(Tarefas[ID],1))+1)/(Tarefas[Status]=B$4),ROWS(B$6:B34)))&amp;" | "&amp;INDEX(Tarefas[Tarefa],_xlfn.AGGREGATE(15,6,(ROW(Tarefas[ID])-ROW(INDEX(Tarefas[ID],1))+1)/(Tarefas[Status]=B$4),ROWS(B$6:B34)))&amp;CHAR(10)&amp;INDEX(Tarefas[Prioridade],_xlfn.AGGREGATE(15,6,(ROW(Tarefas[ID])-ROW(INDEX(Tarefas[ID],1))+1)/(Tarefas[Status]=B$4),ROWS(B$6:B34)))&amp;" · "&amp;INDEX(Tarefas[Responsável],_xlfn.AGGREGATE(15,6,(ROW(Tarefas[ID])-ROW(INDEX(Tarefas[ID],1))+1)/(Tarefas[Status]=B$4),ROWS(B$6:B34)))&amp;CHAR(10)&amp;IF(INDEX(Tarefas[Prazo],_xlfn.AGGREGATE(15,6,(ROW(Tarefas[ID])-ROW(INDEX(Tarefas[ID],1))+1)/(Tarefas[Status]=B$4),ROWS(B$6:B34)))=0,"Sem prazo",TEXT(INDEX(Tarefas[Prazo],_xlfn.AGGREGATE(15,6,(ROW(Tarefas[ID])-ROW(INDEX(Tarefas[ID],1))+1)/(Tarefas[Status]=B$4),ROWS(B$6:B34))),"dd/mm/yyyy")),"")</f>
        <v/>
      </c>
      <c r="C34" s="18" t="str">
        <f>IFERROR(INDEX(Tarefas[ID],_xlfn.AGGREGATE(15,6,(ROW(Tarefas[ID])-ROW(INDEX(Tarefas[ID],1))+1)/(Tarefas[Status]=C$4),ROWS(C$6:C34)))&amp;" | "&amp;INDEX(Tarefas[Tarefa],_xlfn.AGGREGATE(15,6,(ROW(Tarefas[ID])-ROW(INDEX(Tarefas[ID],1))+1)/(Tarefas[Status]=C$4),ROWS(C$6:C34)))&amp;CHAR(10)&amp;INDEX(Tarefas[Prioridade],_xlfn.AGGREGATE(15,6,(ROW(Tarefas[ID])-ROW(INDEX(Tarefas[ID],1))+1)/(Tarefas[Status]=C$4),ROWS(C$6:C34)))&amp;" · "&amp;INDEX(Tarefas[Responsável],_xlfn.AGGREGATE(15,6,(ROW(Tarefas[ID])-ROW(INDEX(Tarefas[ID],1))+1)/(Tarefas[Status]=C$4),ROWS(C$6:C34)))&amp;CHAR(10)&amp;IF(INDEX(Tarefas[Prazo],_xlfn.AGGREGATE(15,6,(ROW(Tarefas[ID])-ROW(INDEX(Tarefas[ID],1))+1)/(Tarefas[Status]=C$4),ROWS(C$6:C34)))=0,"Sem prazo",TEXT(INDEX(Tarefas[Prazo],_xlfn.AGGREGATE(15,6,(ROW(Tarefas[ID])-ROW(INDEX(Tarefas[ID],1))+1)/(Tarefas[Status]=C$4),ROWS(C$6:C34))),"dd/mm/yyyy")),"")</f>
        <v/>
      </c>
      <c r="D34" s="18" t="str">
        <f>IFERROR(INDEX(Tarefas[ID],_xlfn.AGGREGATE(15,6,(ROW(Tarefas[ID])-ROW(INDEX(Tarefas[ID],1))+1)/(Tarefas[Status]=D$4),ROWS(D$6:D34)))&amp;" | "&amp;INDEX(Tarefas[Tarefa],_xlfn.AGGREGATE(15,6,(ROW(Tarefas[ID])-ROW(INDEX(Tarefas[ID],1))+1)/(Tarefas[Status]=D$4),ROWS(D$6:D34)))&amp;CHAR(10)&amp;INDEX(Tarefas[Prioridade],_xlfn.AGGREGATE(15,6,(ROW(Tarefas[ID])-ROW(INDEX(Tarefas[ID],1))+1)/(Tarefas[Status]=D$4),ROWS(D$6:D34)))&amp;" · "&amp;INDEX(Tarefas[Responsável],_xlfn.AGGREGATE(15,6,(ROW(Tarefas[ID])-ROW(INDEX(Tarefas[ID],1))+1)/(Tarefas[Status]=D$4),ROWS(D$6:D34)))&amp;CHAR(10)&amp;IF(INDEX(Tarefas[Prazo],_xlfn.AGGREGATE(15,6,(ROW(Tarefas[ID])-ROW(INDEX(Tarefas[ID],1))+1)/(Tarefas[Status]=D$4),ROWS(D$6:D34)))=0,"Sem prazo",TEXT(INDEX(Tarefas[Prazo],_xlfn.AGGREGATE(15,6,(ROW(Tarefas[ID])-ROW(INDEX(Tarefas[ID],1))+1)/(Tarefas[Status]=D$4),ROWS(D$6:D34))),"dd/mm/yyyy")),"")</f>
        <v/>
      </c>
      <c r="E34" s="18" t="str">
        <f>IFERROR(INDEX(Tarefas[ID],_xlfn.AGGREGATE(15,6,(ROW(Tarefas[ID])-ROW(INDEX(Tarefas[ID],1))+1)/(Tarefas[Status]=E$4),ROWS(E$6:E34)))&amp;" | "&amp;INDEX(Tarefas[Tarefa],_xlfn.AGGREGATE(15,6,(ROW(Tarefas[ID])-ROW(INDEX(Tarefas[ID],1))+1)/(Tarefas[Status]=E$4),ROWS(E$6:E34)))&amp;CHAR(10)&amp;INDEX(Tarefas[Prioridade],_xlfn.AGGREGATE(15,6,(ROW(Tarefas[ID])-ROW(INDEX(Tarefas[ID],1))+1)/(Tarefas[Status]=E$4),ROWS(E$6:E34)))&amp;" · "&amp;INDEX(Tarefas[Responsável],_xlfn.AGGREGATE(15,6,(ROW(Tarefas[ID])-ROW(INDEX(Tarefas[ID],1))+1)/(Tarefas[Status]=E$4),ROWS(E$6:E34)))&amp;CHAR(10)&amp;IF(INDEX(Tarefas[Prazo],_xlfn.AGGREGATE(15,6,(ROW(Tarefas[ID])-ROW(INDEX(Tarefas[ID],1))+1)/(Tarefas[Status]=E$4),ROWS(E$6:E34)))=0,"Sem prazo",TEXT(INDEX(Tarefas[Prazo],_xlfn.AGGREGATE(15,6,(ROW(Tarefas[ID])-ROW(INDEX(Tarefas[ID],1))+1)/(Tarefas[Status]=E$4),ROWS(E$6:E34))),"dd/mm/yyyy")),"")</f>
        <v/>
      </c>
      <c r="F34" s="18" t="str">
        <f>IFERROR(INDEX(Tarefas[ID],_xlfn.AGGREGATE(15,6,(ROW(Tarefas[ID])-ROW(INDEX(Tarefas[ID],1))+1)/(Tarefas[Status]=F$4),ROWS(F$6:F34)))&amp;" | "&amp;INDEX(Tarefas[Tarefa],_xlfn.AGGREGATE(15,6,(ROW(Tarefas[ID])-ROW(INDEX(Tarefas[ID],1))+1)/(Tarefas[Status]=F$4),ROWS(F$6:F34)))&amp;CHAR(10)&amp;INDEX(Tarefas[Prioridade],_xlfn.AGGREGATE(15,6,(ROW(Tarefas[ID])-ROW(INDEX(Tarefas[ID],1))+1)/(Tarefas[Status]=F$4),ROWS(F$6:F34)))&amp;" · "&amp;INDEX(Tarefas[Responsável],_xlfn.AGGREGATE(15,6,(ROW(Tarefas[ID])-ROW(INDEX(Tarefas[ID],1))+1)/(Tarefas[Status]=F$4),ROWS(F$6:F34)))&amp;CHAR(10)&amp;IF(INDEX(Tarefas[Prazo],_xlfn.AGGREGATE(15,6,(ROW(Tarefas[ID])-ROW(INDEX(Tarefas[ID],1))+1)/(Tarefas[Status]=F$4),ROWS(F$6:F34)))=0,"Sem prazo",TEXT(INDEX(Tarefas[Prazo],_xlfn.AGGREGATE(15,6,(ROW(Tarefas[ID])-ROW(INDEX(Tarefas[ID],1))+1)/(Tarefas[Status]=F$4),ROWS(F$6:F34))),"dd/mm/yyyy")),"")</f>
        <v/>
      </c>
    </row>
    <row r="35" spans="1:6" ht="93.95" customHeight="1" x14ac:dyDescent="0.25">
      <c r="A35" s="19" t="str">
        <f>IFERROR(INDEX(Tarefas[ID],_xlfn.AGGREGATE(15,6,(ROW(Tarefas[ID])-ROW(INDEX(Tarefas[ID],1))+1)/(Tarefas[Status]=A$4),ROWS(A$6:A35)))&amp;" | "&amp;INDEX(Tarefas[Tarefa],_xlfn.AGGREGATE(15,6,(ROW(Tarefas[ID])-ROW(INDEX(Tarefas[ID],1))+1)/(Tarefas[Status]=A$4),ROWS(A$6:A35)))&amp;CHAR(10)&amp;INDEX(Tarefas[Prioridade],_xlfn.AGGREGATE(15,6,(ROW(Tarefas[ID])-ROW(INDEX(Tarefas[ID],1))+1)/(Tarefas[Status]=A$4),ROWS(A$6:A35)))&amp;" · "&amp;INDEX(Tarefas[Responsável],_xlfn.AGGREGATE(15,6,(ROW(Tarefas[ID])-ROW(INDEX(Tarefas[ID],1))+1)/(Tarefas[Status]=A$4),ROWS(A$6:A35)))&amp;CHAR(10)&amp;IF(INDEX(Tarefas[Prazo],_xlfn.AGGREGATE(15,6,(ROW(Tarefas[ID])-ROW(INDEX(Tarefas[ID],1))+1)/(Tarefas[Status]=A$4),ROWS(A$6:A35)))=0,"Sem prazo",TEXT(INDEX(Tarefas[Prazo],_xlfn.AGGREGATE(15,6,(ROW(Tarefas[ID])-ROW(INDEX(Tarefas[ID],1))+1)/(Tarefas[Status]=A$4),ROWS(A$6:A35))),"dd/mm/yyyy")),"")</f>
        <v/>
      </c>
      <c r="B35" s="19" t="str">
        <f>IFERROR(INDEX(Tarefas[ID],_xlfn.AGGREGATE(15,6,(ROW(Tarefas[ID])-ROW(INDEX(Tarefas[ID],1))+1)/(Tarefas[Status]=B$4),ROWS(B$6:B35)))&amp;" | "&amp;INDEX(Tarefas[Tarefa],_xlfn.AGGREGATE(15,6,(ROW(Tarefas[ID])-ROW(INDEX(Tarefas[ID],1))+1)/(Tarefas[Status]=B$4),ROWS(B$6:B35)))&amp;CHAR(10)&amp;INDEX(Tarefas[Prioridade],_xlfn.AGGREGATE(15,6,(ROW(Tarefas[ID])-ROW(INDEX(Tarefas[ID],1))+1)/(Tarefas[Status]=B$4),ROWS(B$6:B35)))&amp;" · "&amp;INDEX(Tarefas[Responsável],_xlfn.AGGREGATE(15,6,(ROW(Tarefas[ID])-ROW(INDEX(Tarefas[ID],1))+1)/(Tarefas[Status]=B$4),ROWS(B$6:B35)))&amp;CHAR(10)&amp;IF(INDEX(Tarefas[Prazo],_xlfn.AGGREGATE(15,6,(ROW(Tarefas[ID])-ROW(INDEX(Tarefas[ID],1))+1)/(Tarefas[Status]=B$4),ROWS(B$6:B35)))=0,"Sem prazo",TEXT(INDEX(Tarefas[Prazo],_xlfn.AGGREGATE(15,6,(ROW(Tarefas[ID])-ROW(INDEX(Tarefas[ID],1))+1)/(Tarefas[Status]=B$4),ROWS(B$6:B35))),"dd/mm/yyyy")),"")</f>
        <v/>
      </c>
      <c r="C35" s="19" t="str">
        <f>IFERROR(INDEX(Tarefas[ID],_xlfn.AGGREGATE(15,6,(ROW(Tarefas[ID])-ROW(INDEX(Tarefas[ID],1))+1)/(Tarefas[Status]=C$4),ROWS(C$6:C35)))&amp;" | "&amp;INDEX(Tarefas[Tarefa],_xlfn.AGGREGATE(15,6,(ROW(Tarefas[ID])-ROW(INDEX(Tarefas[ID],1))+1)/(Tarefas[Status]=C$4),ROWS(C$6:C35)))&amp;CHAR(10)&amp;INDEX(Tarefas[Prioridade],_xlfn.AGGREGATE(15,6,(ROW(Tarefas[ID])-ROW(INDEX(Tarefas[ID],1))+1)/(Tarefas[Status]=C$4),ROWS(C$6:C35)))&amp;" · "&amp;INDEX(Tarefas[Responsável],_xlfn.AGGREGATE(15,6,(ROW(Tarefas[ID])-ROW(INDEX(Tarefas[ID],1))+1)/(Tarefas[Status]=C$4),ROWS(C$6:C35)))&amp;CHAR(10)&amp;IF(INDEX(Tarefas[Prazo],_xlfn.AGGREGATE(15,6,(ROW(Tarefas[ID])-ROW(INDEX(Tarefas[ID],1))+1)/(Tarefas[Status]=C$4),ROWS(C$6:C35)))=0,"Sem prazo",TEXT(INDEX(Tarefas[Prazo],_xlfn.AGGREGATE(15,6,(ROW(Tarefas[ID])-ROW(INDEX(Tarefas[ID],1))+1)/(Tarefas[Status]=C$4),ROWS(C$6:C35))),"dd/mm/yyyy")),"")</f>
        <v/>
      </c>
      <c r="D35" s="19" t="str">
        <f>IFERROR(INDEX(Tarefas[ID],_xlfn.AGGREGATE(15,6,(ROW(Tarefas[ID])-ROW(INDEX(Tarefas[ID],1))+1)/(Tarefas[Status]=D$4),ROWS(D$6:D35)))&amp;" | "&amp;INDEX(Tarefas[Tarefa],_xlfn.AGGREGATE(15,6,(ROW(Tarefas[ID])-ROW(INDEX(Tarefas[ID],1))+1)/(Tarefas[Status]=D$4),ROWS(D$6:D35)))&amp;CHAR(10)&amp;INDEX(Tarefas[Prioridade],_xlfn.AGGREGATE(15,6,(ROW(Tarefas[ID])-ROW(INDEX(Tarefas[ID],1))+1)/(Tarefas[Status]=D$4),ROWS(D$6:D35)))&amp;" · "&amp;INDEX(Tarefas[Responsável],_xlfn.AGGREGATE(15,6,(ROW(Tarefas[ID])-ROW(INDEX(Tarefas[ID],1))+1)/(Tarefas[Status]=D$4),ROWS(D$6:D35)))&amp;CHAR(10)&amp;IF(INDEX(Tarefas[Prazo],_xlfn.AGGREGATE(15,6,(ROW(Tarefas[ID])-ROW(INDEX(Tarefas[ID],1))+1)/(Tarefas[Status]=D$4),ROWS(D$6:D35)))=0,"Sem prazo",TEXT(INDEX(Tarefas[Prazo],_xlfn.AGGREGATE(15,6,(ROW(Tarefas[ID])-ROW(INDEX(Tarefas[ID],1))+1)/(Tarefas[Status]=D$4),ROWS(D$6:D35))),"dd/mm/yyyy")),"")</f>
        <v/>
      </c>
      <c r="E35" s="19" t="str">
        <f>IFERROR(INDEX(Tarefas[ID],_xlfn.AGGREGATE(15,6,(ROW(Tarefas[ID])-ROW(INDEX(Tarefas[ID],1))+1)/(Tarefas[Status]=E$4),ROWS(E$6:E35)))&amp;" | "&amp;INDEX(Tarefas[Tarefa],_xlfn.AGGREGATE(15,6,(ROW(Tarefas[ID])-ROW(INDEX(Tarefas[ID],1))+1)/(Tarefas[Status]=E$4),ROWS(E$6:E35)))&amp;CHAR(10)&amp;INDEX(Tarefas[Prioridade],_xlfn.AGGREGATE(15,6,(ROW(Tarefas[ID])-ROW(INDEX(Tarefas[ID],1))+1)/(Tarefas[Status]=E$4),ROWS(E$6:E35)))&amp;" · "&amp;INDEX(Tarefas[Responsável],_xlfn.AGGREGATE(15,6,(ROW(Tarefas[ID])-ROW(INDEX(Tarefas[ID],1))+1)/(Tarefas[Status]=E$4),ROWS(E$6:E35)))&amp;CHAR(10)&amp;IF(INDEX(Tarefas[Prazo],_xlfn.AGGREGATE(15,6,(ROW(Tarefas[ID])-ROW(INDEX(Tarefas[ID],1))+1)/(Tarefas[Status]=E$4),ROWS(E$6:E35)))=0,"Sem prazo",TEXT(INDEX(Tarefas[Prazo],_xlfn.AGGREGATE(15,6,(ROW(Tarefas[ID])-ROW(INDEX(Tarefas[ID],1))+1)/(Tarefas[Status]=E$4),ROWS(E$6:E35))),"dd/mm/yyyy")),"")</f>
        <v/>
      </c>
      <c r="F35" s="19" t="str">
        <f>IFERROR(INDEX(Tarefas[ID],_xlfn.AGGREGATE(15,6,(ROW(Tarefas[ID])-ROW(INDEX(Tarefas[ID],1))+1)/(Tarefas[Status]=F$4),ROWS(F$6:F35)))&amp;" | "&amp;INDEX(Tarefas[Tarefa],_xlfn.AGGREGATE(15,6,(ROW(Tarefas[ID])-ROW(INDEX(Tarefas[ID],1))+1)/(Tarefas[Status]=F$4),ROWS(F$6:F35)))&amp;CHAR(10)&amp;INDEX(Tarefas[Prioridade],_xlfn.AGGREGATE(15,6,(ROW(Tarefas[ID])-ROW(INDEX(Tarefas[ID],1))+1)/(Tarefas[Status]=F$4),ROWS(F$6:F35)))&amp;" · "&amp;INDEX(Tarefas[Responsável],_xlfn.AGGREGATE(15,6,(ROW(Tarefas[ID])-ROW(INDEX(Tarefas[ID],1))+1)/(Tarefas[Status]=F$4),ROWS(F$6:F35)))&amp;CHAR(10)&amp;IF(INDEX(Tarefas[Prazo],_xlfn.AGGREGATE(15,6,(ROW(Tarefas[ID])-ROW(INDEX(Tarefas[ID],1))+1)/(Tarefas[Status]=F$4),ROWS(F$6:F35)))=0,"Sem prazo",TEXT(INDEX(Tarefas[Prazo],_xlfn.AGGREGATE(15,6,(ROW(Tarefas[ID])-ROW(INDEX(Tarefas[ID],1))+1)/(Tarefas[Status]=F$4),ROWS(F$6:F35))),"dd/mm/yyyy")),"")</f>
        <v/>
      </c>
    </row>
    <row r="36" spans="1:6" ht="93.95" customHeight="1" x14ac:dyDescent="0.25">
      <c r="A36" s="18" t="str">
        <f>IFERROR(INDEX(Tarefas[ID],_xlfn.AGGREGATE(15,6,(ROW(Tarefas[ID])-ROW(INDEX(Tarefas[ID],1))+1)/(Tarefas[Status]=A$4),ROWS(A$6:A36)))&amp;" | "&amp;INDEX(Tarefas[Tarefa],_xlfn.AGGREGATE(15,6,(ROW(Tarefas[ID])-ROW(INDEX(Tarefas[ID],1))+1)/(Tarefas[Status]=A$4),ROWS(A$6:A36)))&amp;CHAR(10)&amp;INDEX(Tarefas[Prioridade],_xlfn.AGGREGATE(15,6,(ROW(Tarefas[ID])-ROW(INDEX(Tarefas[ID],1))+1)/(Tarefas[Status]=A$4),ROWS(A$6:A36)))&amp;" · "&amp;INDEX(Tarefas[Responsável],_xlfn.AGGREGATE(15,6,(ROW(Tarefas[ID])-ROW(INDEX(Tarefas[ID],1))+1)/(Tarefas[Status]=A$4),ROWS(A$6:A36)))&amp;CHAR(10)&amp;IF(INDEX(Tarefas[Prazo],_xlfn.AGGREGATE(15,6,(ROW(Tarefas[ID])-ROW(INDEX(Tarefas[ID],1))+1)/(Tarefas[Status]=A$4),ROWS(A$6:A36)))=0,"Sem prazo",TEXT(INDEX(Tarefas[Prazo],_xlfn.AGGREGATE(15,6,(ROW(Tarefas[ID])-ROW(INDEX(Tarefas[ID],1))+1)/(Tarefas[Status]=A$4),ROWS(A$6:A36))),"dd/mm/yyyy")),"")</f>
        <v/>
      </c>
      <c r="B36" s="18" t="str">
        <f>IFERROR(INDEX(Tarefas[ID],_xlfn.AGGREGATE(15,6,(ROW(Tarefas[ID])-ROW(INDEX(Tarefas[ID],1))+1)/(Tarefas[Status]=B$4),ROWS(B$6:B36)))&amp;" | "&amp;INDEX(Tarefas[Tarefa],_xlfn.AGGREGATE(15,6,(ROW(Tarefas[ID])-ROW(INDEX(Tarefas[ID],1))+1)/(Tarefas[Status]=B$4),ROWS(B$6:B36)))&amp;CHAR(10)&amp;INDEX(Tarefas[Prioridade],_xlfn.AGGREGATE(15,6,(ROW(Tarefas[ID])-ROW(INDEX(Tarefas[ID],1))+1)/(Tarefas[Status]=B$4),ROWS(B$6:B36)))&amp;" · "&amp;INDEX(Tarefas[Responsável],_xlfn.AGGREGATE(15,6,(ROW(Tarefas[ID])-ROW(INDEX(Tarefas[ID],1))+1)/(Tarefas[Status]=B$4),ROWS(B$6:B36)))&amp;CHAR(10)&amp;IF(INDEX(Tarefas[Prazo],_xlfn.AGGREGATE(15,6,(ROW(Tarefas[ID])-ROW(INDEX(Tarefas[ID],1))+1)/(Tarefas[Status]=B$4),ROWS(B$6:B36)))=0,"Sem prazo",TEXT(INDEX(Tarefas[Prazo],_xlfn.AGGREGATE(15,6,(ROW(Tarefas[ID])-ROW(INDEX(Tarefas[ID],1))+1)/(Tarefas[Status]=B$4),ROWS(B$6:B36))),"dd/mm/yyyy")),"")</f>
        <v/>
      </c>
      <c r="C36" s="18" t="str">
        <f>IFERROR(INDEX(Tarefas[ID],_xlfn.AGGREGATE(15,6,(ROW(Tarefas[ID])-ROW(INDEX(Tarefas[ID],1))+1)/(Tarefas[Status]=C$4),ROWS(C$6:C36)))&amp;" | "&amp;INDEX(Tarefas[Tarefa],_xlfn.AGGREGATE(15,6,(ROW(Tarefas[ID])-ROW(INDEX(Tarefas[ID],1))+1)/(Tarefas[Status]=C$4),ROWS(C$6:C36)))&amp;CHAR(10)&amp;INDEX(Tarefas[Prioridade],_xlfn.AGGREGATE(15,6,(ROW(Tarefas[ID])-ROW(INDEX(Tarefas[ID],1))+1)/(Tarefas[Status]=C$4),ROWS(C$6:C36)))&amp;" · "&amp;INDEX(Tarefas[Responsável],_xlfn.AGGREGATE(15,6,(ROW(Tarefas[ID])-ROW(INDEX(Tarefas[ID],1))+1)/(Tarefas[Status]=C$4),ROWS(C$6:C36)))&amp;CHAR(10)&amp;IF(INDEX(Tarefas[Prazo],_xlfn.AGGREGATE(15,6,(ROW(Tarefas[ID])-ROW(INDEX(Tarefas[ID],1))+1)/(Tarefas[Status]=C$4),ROWS(C$6:C36)))=0,"Sem prazo",TEXT(INDEX(Tarefas[Prazo],_xlfn.AGGREGATE(15,6,(ROW(Tarefas[ID])-ROW(INDEX(Tarefas[ID],1))+1)/(Tarefas[Status]=C$4),ROWS(C$6:C36))),"dd/mm/yyyy")),"")</f>
        <v/>
      </c>
      <c r="D36" s="18" t="str">
        <f>IFERROR(INDEX(Tarefas[ID],_xlfn.AGGREGATE(15,6,(ROW(Tarefas[ID])-ROW(INDEX(Tarefas[ID],1))+1)/(Tarefas[Status]=D$4),ROWS(D$6:D36)))&amp;" | "&amp;INDEX(Tarefas[Tarefa],_xlfn.AGGREGATE(15,6,(ROW(Tarefas[ID])-ROW(INDEX(Tarefas[ID],1))+1)/(Tarefas[Status]=D$4),ROWS(D$6:D36)))&amp;CHAR(10)&amp;INDEX(Tarefas[Prioridade],_xlfn.AGGREGATE(15,6,(ROW(Tarefas[ID])-ROW(INDEX(Tarefas[ID],1))+1)/(Tarefas[Status]=D$4),ROWS(D$6:D36)))&amp;" · "&amp;INDEX(Tarefas[Responsável],_xlfn.AGGREGATE(15,6,(ROW(Tarefas[ID])-ROW(INDEX(Tarefas[ID],1))+1)/(Tarefas[Status]=D$4),ROWS(D$6:D36)))&amp;CHAR(10)&amp;IF(INDEX(Tarefas[Prazo],_xlfn.AGGREGATE(15,6,(ROW(Tarefas[ID])-ROW(INDEX(Tarefas[ID],1))+1)/(Tarefas[Status]=D$4),ROWS(D$6:D36)))=0,"Sem prazo",TEXT(INDEX(Tarefas[Prazo],_xlfn.AGGREGATE(15,6,(ROW(Tarefas[ID])-ROW(INDEX(Tarefas[ID],1))+1)/(Tarefas[Status]=D$4),ROWS(D$6:D36))),"dd/mm/yyyy")),"")</f>
        <v/>
      </c>
      <c r="E36" s="18" t="str">
        <f>IFERROR(INDEX(Tarefas[ID],_xlfn.AGGREGATE(15,6,(ROW(Tarefas[ID])-ROW(INDEX(Tarefas[ID],1))+1)/(Tarefas[Status]=E$4),ROWS(E$6:E36)))&amp;" | "&amp;INDEX(Tarefas[Tarefa],_xlfn.AGGREGATE(15,6,(ROW(Tarefas[ID])-ROW(INDEX(Tarefas[ID],1))+1)/(Tarefas[Status]=E$4),ROWS(E$6:E36)))&amp;CHAR(10)&amp;INDEX(Tarefas[Prioridade],_xlfn.AGGREGATE(15,6,(ROW(Tarefas[ID])-ROW(INDEX(Tarefas[ID],1))+1)/(Tarefas[Status]=E$4),ROWS(E$6:E36)))&amp;" · "&amp;INDEX(Tarefas[Responsável],_xlfn.AGGREGATE(15,6,(ROW(Tarefas[ID])-ROW(INDEX(Tarefas[ID],1))+1)/(Tarefas[Status]=E$4),ROWS(E$6:E36)))&amp;CHAR(10)&amp;IF(INDEX(Tarefas[Prazo],_xlfn.AGGREGATE(15,6,(ROW(Tarefas[ID])-ROW(INDEX(Tarefas[ID],1))+1)/(Tarefas[Status]=E$4),ROWS(E$6:E36)))=0,"Sem prazo",TEXT(INDEX(Tarefas[Prazo],_xlfn.AGGREGATE(15,6,(ROW(Tarefas[ID])-ROW(INDEX(Tarefas[ID],1))+1)/(Tarefas[Status]=E$4),ROWS(E$6:E36))),"dd/mm/yyyy")),"")</f>
        <v/>
      </c>
      <c r="F36" s="18" t="str">
        <f>IFERROR(INDEX(Tarefas[ID],_xlfn.AGGREGATE(15,6,(ROW(Tarefas[ID])-ROW(INDEX(Tarefas[ID],1))+1)/(Tarefas[Status]=F$4),ROWS(F$6:F36)))&amp;" | "&amp;INDEX(Tarefas[Tarefa],_xlfn.AGGREGATE(15,6,(ROW(Tarefas[ID])-ROW(INDEX(Tarefas[ID],1))+1)/(Tarefas[Status]=F$4),ROWS(F$6:F36)))&amp;CHAR(10)&amp;INDEX(Tarefas[Prioridade],_xlfn.AGGREGATE(15,6,(ROW(Tarefas[ID])-ROW(INDEX(Tarefas[ID],1))+1)/(Tarefas[Status]=F$4),ROWS(F$6:F36)))&amp;" · "&amp;INDEX(Tarefas[Responsável],_xlfn.AGGREGATE(15,6,(ROW(Tarefas[ID])-ROW(INDEX(Tarefas[ID],1))+1)/(Tarefas[Status]=F$4),ROWS(F$6:F36)))&amp;CHAR(10)&amp;IF(INDEX(Tarefas[Prazo],_xlfn.AGGREGATE(15,6,(ROW(Tarefas[ID])-ROW(INDEX(Tarefas[ID],1))+1)/(Tarefas[Status]=F$4),ROWS(F$6:F36)))=0,"Sem prazo",TEXT(INDEX(Tarefas[Prazo],_xlfn.AGGREGATE(15,6,(ROW(Tarefas[ID])-ROW(INDEX(Tarefas[ID],1))+1)/(Tarefas[Status]=F$4),ROWS(F$6:F36))),"dd/mm/yyyy")),"")</f>
        <v/>
      </c>
    </row>
    <row r="37" spans="1:6" ht="93.95" customHeight="1" x14ac:dyDescent="0.25">
      <c r="A37" s="19" t="str">
        <f>IFERROR(INDEX(Tarefas[ID],_xlfn.AGGREGATE(15,6,(ROW(Tarefas[ID])-ROW(INDEX(Tarefas[ID],1))+1)/(Tarefas[Status]=A$4),ROWS(A$6:A37)))&amp;" | "&amp;INDEX(Tarefas[Tarefa],_xlfn.AGGREGATE(15,6,(ROW(Tarefas[ID])-ROW(INDEX(Tarefas[ID],1))+1)/(Tarefas[Status]=A$4),ROWS(A$6:A37)))&amp;CHAR(10)&amp;INDEX(Tarefas[Prioridade],_xlfn.AGGREGATE(15,6,(ROW(Tarefas[ID])-ROW(INDEX(Tarefas[ID],1))+1)/(Tarefas[Status]=A$4),ROWS(A$6:A37)))&amp;" · "&amp;INDEX(Tarefas[Responsável],_xlfn.AGGREGATE(15,6,(ROW(Tarefas[ID])-ROW(INDEX(Tarefas[ID],1))+1)/(Tarefas[Status]=A$4),ROWS(A$6:A37)))&amp;CHAR(10)&amp;IF(INDEX(Tarefas[Prazo],_xlfn.AGGREGATE(15,6,(ROW(Tarefas[ID])-ROW(INDEX(Tarefas[ID],1))+1)/(Tarefas[Status]=A$4),ROWS(A$6:A37)))=0,"Sem prazo",TEXT(INDEX(Tarefas[Prazo],_xlfn.AGGREGATE(15,6,(ROW(Tarefas[ID])-ROW(INDEX(Tarefas[ID],1))+1)/(Tarefas[Status]=A$4),ROWS(A$6:A37))),"dd/mm/yyyy")),"")</f>
        <v/>
      </c>
      <c r="B37" s="19" t="str">
        <f>IFERROR(INDEX(Tarefas[ID],_xlfn.AGGREGATE(15,6,(ROW(Tarefas[ID])-ROW(INDEX(Tarefas[ID],1))+1)/(Tarefas[Status]=B$4),ROWS(B$6:B37)))&amp;" | "&amp;INDEX(Tarefas[Tarefa],_xlfn.AGGREGATE(15,6,(ROW(Tarefas[ID])-ROW(INDEX(Tarefas[ID],1))+1)/(Tarefas[Status]=B$4),ROWS(B$6:B37)))&amp;CHAR(10)&amp;INDEX(Tarefas[Prioridade],_xlfn.AGGREGATE(15,6,(ROW(Tarefas[ID])-ROW(INDEX(Tarefas[ID],1))+1)/(Tarefas[Status]=B$4),ROWS(B$6:B37)))&amp;" · "&amp;INDEX(Tarefas[Responsável],_xlfn.AGGREGATE(15,6,(ROW(Tarefas[ID])-ROW(INDEX(Tarefas[ID],1))+1)/(Tarefas[Status]=B$4),ROWS(B$6:B37)))&amp;CHAR(10)&amp;IF(INDEX(Tarefas[Prazo],_xlfn.AGGREGATE(15,6,(ROW(Tarefas[ID])-ROW(INDEX(Tarefas[ID],1))+1)/(Tarefas[Status]=B$4),ROWS(B$6:B37)))=0,"Sem prazo",TEXT(INDEX(Tarefas[Prazo],_xlfn.AGGREGATE(15,6,(ROW(Tarefas[ID])-ROW(INDEX(Tarefas[ID],1))+1)/(Tarefas[Status]=B$4),ROWS(B$6:B37))),"dd/mm/yyyy")),"")</f>
        <v/>
      </c>
      <c r="C37" s="19" t="str">
        <f>IFERROR(INDEX(Tarefas[ID],_xlfn.AGGREGATE(15,6,(ROW(Tarefas[ID])-ROW(INDEX(Tarefas[ID],1))+1)/(Tarefas[Status]=C$4),ROWS(C$6:C37)))&amp;" | "&amp;INDEX(Tarefas[Tarefa],_xlfn.AGGREGATE(15,6,(ROW(Tarefas[ID])-ROW(INDEX(Tarefas[ID],1))+1)/(Tarefas[Status]=C$4),ROWS(C$6:C37)))&amp;CHAR(10)&amp;INDEX(Tarefas[Prioridade],_xlfn.AGGREGATE(15,6,(ROW(Tarefas[ID])-ROW(INDEX(Tarefas[ID],1))+1)/(Tarefas[Status]=C$4),ROWS(C$6:C37)))&amp;" · "&amp;INDEX(Tarefas[Responsável],_xlfn.AGGREGATE(15,6,(ROW(Tarefas[ID])-ROW(INDEX(Tarefas[ID],1))+1)/(Tarefas[Status]=C$4),ROWS(C$6:C37)))&amp;CHAR(10)&amp;IF(INDEX(Tarefas[Prazo],_xlfn.AGGREGATE(15,6,(ROW(Tarefas[ID])-ROW(INDEX(Tarefas[ID],1))+1)/(Tarefas[Status]=C$4),ROWS(C$6:C37)))=0,"Sem prazo",TEXT(INDEX(Tarefas[Prazo],_xlfn.AGGREGATE(15,6,(ROW(Tarefas[ID])-ROW(INDEX(Tarefas[ID],1))+1)/(Tarefas[Status]=C$4),ROWS(C$6:C37))),"dd/mm/yyyy")),"")</f>
        <v/>
      </c>
      <c r="D37" s="19" t="str">
        <f>IFERROR(INDEX(Tarefas[ID],_xlfn.AGGREGATE(15,6,(ROW(Tarefas[ID])-ROW(INDEX(Tarefas[ID],1))+1)/(Tarefas[Status]=D$4),ROWS(D$6:D37)))&amp;" | "&amp;INDEX(Tarefas[Tarefa],_xlfn.AGGREGATE(15,6,(ROW(Tarefas[ID])-ROW(INDEX(Tarefas[ID],1))+1)/(Tarefas[Status]=D$4),ROWS(D$6:D37)))&amp;CHAR(10)&amp;INDEX(Tarefas[Prioridade],_xlfn.AGGREGATE(15,6,(ROW(Tarefas[ID])-ROW(INDEX(Tarefas[ID],1))+1)/(Tarefas[Status]=D$4),ROWS(D$6:D37)))&amp;" · "&amp;INDEX(Tarefas[Responsável],_xlfn.AGGREGATE(15,6,(ROW(Tarefas[ID])-ROW(INDEX(Tarefas[ID],1))+1)/(Tarefas[Status]=D$4),ROWS(D$6:D37)))&amp;CHAR(10)&amp;IF(INDEX(Tarefas[Prazo],_xlfn.AGGREGATE(15,6,(ROW(Tarefas[ID])-ROW(INDEX(Tarefas[ID],1))+1)/(Tarefas[Status]=D$4),ROWS(D$6:D37)))=0,"Sem prazo",TEXT(INDEX(Tarefas[Prazo],_xlfn.AGGREGATE(15,6,(ROW(Tarefas[ID])-ROW(INDEX(Tarefas[ID],1))+1)/(Tarefas[Status]=D$4),ROWS(D$6:D37))),"dd/mm/yyyy")),"")</f>
        <v/>
      </c>
      <c r="E37" s="19" t="str">
        <f>IFERROR(INDEX(Tarefas[ID],_xlfn.AGGREGATE(15,6,(ROW(Tarefas[ID])-ROW(INDEX(Tarefas[ID],1))+1)/(Tarefas[Status]=E$4),ROWS(E$6:E37)))&amp;" | "&amp;INDEX(Tarefas[Tarefa],_xlfn.AGGREGATE(15,6,(ROW(Tarefas[ID])-ROW(INDEX(Tarefas[ID],1))+1)/(Tarefas[Status]=E$4),ROWS(E$6:E37)))&amp;CHAR(10)&amp;INDEX(Tarefas[Prioridade],_xlfn.AGGREGATE(15,6,(ROW(Tarefas[ID])-ROW(INDEX(Tarefas[ID],1))+1)/(Tarefas[Status]=E$4),ROWS(E$6:E37)))&amp;" · "&amp;INDEX(Tarefas[Responsável],_xlfn.AGGREGATE(15,6,(ROW(Tarefas[ID])-ROW(INDEX(Tarefas[ID],1))+1)/(Tarefas[Status]=E$4),ROWS(E$6:E37)))&amp;CHAR(10)&amp;IF(INDEX(Tarefas[Prazo],_xlfn.AGGREGATE(15,6,(ROW(Tarefas[ID])-ROW(INDEX(Tarefas[ID],1))+1)/(Tarefas[Status]=E$4),ROWS(E$6:E37)))=0,"Sem prazo",TEXT(INDEX(Tarefas[Prazo],_xlfn.AGGREGATE(15,6,(ROW(Tarefas[ID])-ROW(INDEX(Tarefas[ID],1))+1)/(Tarefas[Status]=E$4),ROWS(E$6:E37))),"dd/mm/yyyy")),"")</f>
        <v/>
      </c>
      <c r="F37" s="19" t="str">
        <f>IFERROR(INDEX(Tarefas[ID],_xlfn.AGGREGATE(15,6,(ROW(Tarefas[ID])-ROW(INDEX(Tarefas[ID],1))+1)/(Tarefas[Status]=F$4),ROWS(F$6:F37)))&amp;" | "&amp;INDEX(Tarefas[Tarefa],_xlfn.AGGREGATE(15,6,(ROW(Tarefas[ID])-ROW(INDEX(Tarefas[ID],1))+1)/(Tarefas[Status]=F$4),ROWS(F$6:F37)))&amp;CHAR(10)&amp;INDEX(Tarefas[Prioridade],_xlfn.AGGREGATE(15,6,(ROW(Tarefas[ID])-ROW(INDEX(Tarefas[ID],1))+1)/(Tarefas[Status]=F$4),ROWS(F$6:F37)))&amp;" · "&amp;INDEX(Tarefas[Responsável],_xlfn.AGGREGATE(15,6,(ROW(Tarefas[ID])-ROW(INDEX(Tarefas[ID],1))+1)/(Tarefas[Status]=F$4),ROWS(F$6:F37)))&amp;CHAR(10)&amp;IF(INDEX(Tarefas[Prazo],_xlfn.AGGREGATE(15,6,(ROW(Tarefas[ID])-ROW(INDEX(Tarefas[ID],1))+1)/(Tarefas[Status]=F$4),ROWS(F$6:F37)))=0,"Sem prazo",TEXT(INDEX(Tarefas[Prazo],_xlfn.AGGREGATE(15,6,(ROW(Tarefas[ID])-ROW(INDEX(Tarefas[ID],1))+1)/(Tarefas[Status]=F$4),ROWS(F$6:F37))),"dd/mm/yyyy")),"")</f>
        <v/>
      </c>
    </row>
    <row r="38" spans="1:6" ht="93.95" customHeight="1" x14ac:dyDescent="0.25">
      <c r="A38" s="18" t="str">
        <f>IFERROR(INDEX(Tarefas[ID],_xlfn.AGGREGATE(15,6,(ROW(Tarefas[ID])-ROW(INDEX(Tarefas[ID],1))+1)/(Tarefas[Status]=A$4),ROWS(A$6:A38)))&amp;" | "&amp;INDEX(Tarefas[Tarefa],_xlfn.AGGREGATE(15,6,(ROW(Tarefas[ID])-ROW(INDEX(Tarefas[ID],1))+1)/(Tarefas[Status]=A$4),ROWS(A$6:A38)))&amp;CHAR(10)&amp;INDEX(Tarefas[Prioridade],_xlfn.AGGREGATE(15,6,(ROW(Tarefas[ID])-ROW(INDEX(Tarefas[ID],1))+1)/(Tarefas[Status]=A$4),ROWS(A$6:A38)))&amp;" · "&amp;INDEX(Tarefas[Responsável],_xlfn.AGGREGATE(15,6,(ROW(Tarefas[ID])-ROW(INDEX(Tarefas[ID],1))+1)/(Tarefas[Status]=A$4),ROWS(A$6:A38)))&amp;CHAR(10)&amp;IF(INDEX(Tarefas[Prazo],_xlfn.AGGREGATE(15,6,(ROW(Tarefas[ID])-ROW(INDEX(Tarefas[ID],1))+1)/(Tarefas[Status]=A$4),ROWS(A$6:A38)))=0,"Sem prazo",TEXT(INDEX(Tarefas[Prazo],_xlfn.AGGREGATE(15,6,(ROW(Tarefas[ID])-ROW(INDEX(Tarefas[ID],1))+1)/(Tarefas[Status]=A$4),ROWS(A$6:A38))),"dd/mm/yyyy")),"")</f>
        <v/>
      </c>
      <c r="B38" s="18" t="str">
        <f>IFERROR(INDEX(Tarefas[ID],_xlfn.AGGREGATE(15,6,(ROW(Tarefas[ID])-ROW(INDEX(Tarefas[ID],1))+1)/(Tarefas[Status]=B$4),ROWS(B$6:B38)))&amp;" | "&amp;INDEX(Tarefas[Tarefa],_xlfn.AGGREGATE(15,6,(ROW(Tarefas[ID])-ROW(INDEX(Tarefas[ID],1))+1)/(Tarefas[Status]=B$4),ROWS(B$6:B38)))&amp;CHAR(10)&amp;INDEX(Tarefas[Prioridade],_xlfn.AGGREGATE(15,6,(ROW(Tarefas[ID])-ROW(INDEX(Tarefas[ID],1))+1)/(Tarefas[Status]=B$4),ROWS(B$6:B38)))&amp;" · "&amp;INDEX(Tarefas[Responsável],_xlfn.AGGREGATE(15,6,(ROW(Tarefas[ID])-ROW(INDEX(Tarefas[ID],1))+1)/(Tarefas[Status]=B$4),ROWS(B$6:B38)))&amp;CHAR(10)&amp;IF(INDEX(Tarefas[Prazo],_xlfn.AGGREGATE(15,6,(ROW(Tarefas[ID])-ROW(INDEX(Tarefas[ID],1))+1)/(Tarefas[Status]=B$4),ROWS(B$6:B38)))=0,"Sem prazo",TEXT(INDEX(Tarefas[Prazo],_xlfn.AGGREGATE(15,6,(ROW(Tarefas[ID])-ROW(INDEX(Tarefas[ID],1))+1)/(Tarefas[Status]=B$4),ROWS(B$6:B38))),"dd/mm/yyyy")),"")</f>
        <v/>
      </c>
      <c r="C38" s="18" t="str">
        <f>IFERROR(INDEX(Tarefas[ID],_xlfn.AGGREGATE(15,6,(ROW(Tarefas[ID])-ROW(INDEX(Tarefas[ID],1))+1)/(Tarefas[Status]=C$4),ROWS(C$6:C38)))&amp;" | "&amp;INDEX(Tarefas[Tarefa],_xlfn.AGGREGATE(15,6,(ROW(Tarefas[ID])-ROW(INDEX(Tarefas[ID],1))+1)/(Tarefas[Status]=C$4),ROWS(C$6:C38)))&amp;CHAR(10)&amp;INDEX(Tarefas[Prioridade],_xlfn.AGGREGATE(15,6,(ROW(Tarefas[ID])-ROW(INDEX(Tarefas[ID],1))+1)/(Tarefas[Status]=C$4),ROWS(C$6:C38)))&amp;" · "&amp;INDEX(Tarefas[Responsável],_xlfn.AGGREGATE(15,6,(ROW(Tarefas[ID])-ROW(INDEX(Tarefas[ID],1))+1)/(Tarefas[Status]=C$4),ROWS(C$6:C38)))&amp;CHAR(10)&amp;IF(INDEX(Tarefas[Prazo],_xlfn.AGGREGATE(15,6,(ROW(Tarefas[ID])-ROW(INDEX(Tarefas[ID],1))+1)/(Tarefas[Status]=C$4),ROWS(C$6:C38)))=0,"Sem prazo",TEXT(INDEX(Tarefas[Prazo],_xlfn.AGGREGATE(15,6,(ROW(Tarefas[ID])-ROW(INDEX(Tarefas[ID],1))+1)/(Tarefas[Status]=C$4),ROWS(C$6:C38))),"dd/mm/yyyy")),"")</f>
        <v/>
      </c>
      <c r="D38" s="18" t="str">
        <f>IFERROR(INDEX(Tarefas[ID],_xlfn.AGGREGATE(15,6,(ROW(Tarefas[ID])-ROW(INDEX(Tarefas[ID],1))+1)/(Tarefas[Status]=D$4),ROWS(D$6:D38)))&amp;" | "&amp;INDEX(Tarefas[Tarefa],_xlfn.AGGREGATE(15,6,(ROW(Tarefas[ID])-ROW(INDEX(Tarefas[ID],1))+1)/(Tarefas[Status]=D$4),ROWS(D$6:D38)))&amp;CHAR(10)&amp;INDEX(Tarefas[Prioridade],_xlfn.AGGREGATE(15,6,(ROW(Tarefas[ID])-ROW(INDEX(Tarefas[ID],1))+1)/(Tarefas[Status]=D$4),ROWS(D$6:D38)))&amp;" · "&amp;INDEX(Tarefas[Responsável],_xlfn.AGGREGATE(15,6,(ROW(Tarefas[ID])-ROW(INDEX(Tarefas[ID],1))+1)/(Tarefas[Status]=D$4),ROWS(D$6:D38)))&amp;CHAR(10)&amp;IF(INDEX(Tarefas[Prazo],_xlfn.AGGREGATE(15,6,(ROW(Tarefas[ID])-ROW(INDEX(Tarefas[ID],1))+1)/(Tarefas[Status]=D$4),ROWS(D$6:D38)))=0,"Sem prazo",TEXT(INDEX(Tarefas[Prazo],_xlfn.AGGREGATE(15,6,(ROW(Tarefas[ID])-ROW(INDEX(Tarefas[ID],1))+1)/(Tarefas[Status]=D$4),ROWS(D$6:D38))),"dd/mm/yyyy")),"")</f>
        <v/>
      </c>
      <c r="E38" s="18" t="str">
        <f>IFERROR(INDEX(Tarefas[ID],_xlfn.AGGREGATE(15,6,(ROW(Tarefas[ID])-ROW(INDEX(Tarefas[ID],1))+1)/(Tarefas[Status]=E$4),ROWS(E$6:E38)))&amp;" | "&amp;INDEX(Tarefas[Tarefa],_xlfn.AGGREGATE(15,6,(ROW(Tarefas[ID])-ROW(INDEX(Tarefas[ID],1))+1)/(Tarefas[Status]=E$4),ROWS(E$6:E38)))&amp;CHAR(10)&amp;INDEX(Tarefas[Prioridade],_xlfn.AGGREGATE(15,6,(ROW(Tarefas[ID])-ROW(INDEX(Tarefas[ID],1))+1)/(Tarefas[Status]=E$4),ROWS(E$6:E38)))&amp;" · "&amp;INDEX(Tarefas[Responsável],_xlfn.AGGREGATE(15,6,(ROW(Tarefas[ID])-ROW(INDEX(Tarefas[ID],1))+1)/(Tarefas[Status]=E$4),ROWS(E$6:E38)))&amp;CHAR(10)&amp;IF(INDEX(Tarefas[Prazo],_xlfn.AGGREGATE(15,6,(ROW(Tarefas[ID])-ROW(INDEX(Tarefas[ID],1))+1)/(Tarefas[Status]=E$4),ROWS(E$6:E38)))=0,"Sem prazo",TEXT(INDEX(Tarefas[Prazo],_xlfn.AGGREGATE(15,6,(ROW(Tarefas[ID])-ROW(INDEX(Tarefas[ID],1))+1)/(Tarefas[Status]=E$4),ROWS(E$6:E38))),"dd/mm/yyyy")),"")</f>
        <v/>
      </c>
      <c r="F38" s="18" t="str">
        <f>IFERROR(INDEX(Tarefas[ID],_xlfn.AGGREGATE(15,6,(ROW(Tarefas[ID])-ROW(INDEX(Tarefas[ID],1))+1)/(Tarefas[Status]=F$4),ROWS(F$6:F38)))&amp;" | "&amp;INDEX(Tarefas[Tarefa],_xlfn.AGGREGATE(15,6,(ROW(Tarefas[ID])-ROW(INDEX(Tarefas[ID],1))+1)/(Tarefas[Status]=F$4),ROWS(F$6:F38)))&amp;CHAR(10)&amp;INDEX(Tarefas[Prioridade],_xlfn.AGGREGATE(15,6,(ROW(Tarefas[ID])-ROW(INDEX(Tarefas[ID],1))+1)/(Tarefas[Status]=F$4),ROWS(F$6:F38)))&amp;" · "&amp;INDEX(Tarefas[Responsável],_xlfn.AGGREGATE(15,6,(ROW(Tarefas[ID])-ROW(INDEX(Tarefas[ID],1))+1)/(Tarefas[Status]=F$4),ROWS(F$6:F38)))&amp;CHAR(10)&amp;IF(INDEX(Tarefas[Prazo],_xlfn.AGGREGATE(15,6,(ROW(Tarefas[ID])-ROW(INDEX(Tarefas[ID],1))+1)/(Tarefas[Status]=F$4),ROWS(F$6:F38)))=0,"Sem prazo",TEXT(INDEX(Tarefas[Prazo],_xlfn.AGGREGATE(15,6,(ROW(Tarefas[ID])-ROW(INDEX(Tarefas[ID],1))+1)/(Tarefas[Status]=F$4),ROWS(F$6:F38))),"dd/mm/yyyy")),"")</f>
        <v/>
      </c>
    </row>
    <row r="39" spans="1:6" ht="93.95" customHeight="1" x14ac:dyDescent="0.25">
      <c r="A39" s="19" t="str">
        <f>IFERROR(INDEX(Tarefas[ID],_xlfn.AGGREGATE(15,6,(ROW(Tarefas[ID])-ROW(INDEX(Tarefas[ID],1))+1)/(Tarefas[Status]=A$4),ROWS(A$6:A39)))&amp;" | "&amp;INDEX(Tarefas[Tarefa],_xlfn.AGGREGATE(15,6,(ROW(Tarefas[ID])-ROW(INDEX(Tarefas[ID],1))+1)/(Tarefas[Status]=A$4),ROWS(A$6:A39)))&amp;CHAR(10)&amp;INDEX(Tarefas[Prioridade],_xlfn.AGGREGATE(15,6,(ROW(Tarefas[ID])-ROW(INDEX(Tarefas[ID],1))+1)/(Tarefas[Status]=A$4),ROWS(A$6:A39)))&amp;" · "&amp;INDEX(Tarefas[Responsável],_xlfn.AGGREGATE(15,6,(ROW(Tarefas[ID])-ROW(INDEX(Tarefas[ID],1))+1)/(Tarefas[Status]=A$4),ROWS(A$6:A39)))&amp;CHAR(10)&amp;IF(INDEX(Tarefas[Prazo],_xlfn.AGGREGATE(15,6,(ROW(Tarefas[ID])-ROW(INDEX(Tarefas[ID],1))+1)/(Tarefas[Status]=A$4),ROWS(A$6:A39)))=0,"Sem prazo",TEXT(INDEX(Tarefas[Prazo],_xlfn.AGGREGATE(15,6,(ROW(Tarefas[ID])-ROW(INDEX(Tarefas[ID],1))+1)/(Tarefas[Status]=A$4),ROWS(A$6:A39))),"dd/mm/yyyy")),"")</f>
        <v/>
      </c>
      <c r="B39" s="19" t="str">
        <f>IFERROR(INDEX(Tarefas[ID],_xlfn.AGGREGATE(15,6,(ROW(Tarefas[ID])-ROW(INDEX(Tarefas[ID],1))+1)/(Tarefas[Status]=B$4),ROWS(B$6:B39)))&amp;" | "&amp;INDEX(Tarefas[Tarefa],_xlfn.AGGREGATE(15,6,(ROW(Tarefas[ID])-ROW(INDEX(Tarefas[ID],1))+1)/(Tarefas[Status]=B$4),ROWS(B$6:B39)))&amp;CHAR(10)&amp;INDEX(Tarefas[Prioridade],_xlfn.AGGREGATE(15,6,(ROW(Tarefas[ID])-ROW(INDEX(Tarefas[ID],1))+1)/(Tarefas[Status]=B$4),ROWS(B$6:B39)))&amp;" · "&amp;INDEX(Tarefas[Responsável],_xlfn.AGGREGATE(15,6,(ROW(Tarefas[ID])-ROW(INDEX(Tarefas[ID],1))+1)/(Tarefas[Status]=B$4),ROWS(B$6:B39)))&amp;CHAR(10)&amp;IF(INDEX(Tarefas[Prazo],_xlfn.AGGREGATE(15,6,(ROW(Tarefas[ID])-ROW(INDEX(Tarefas[ID],1))+1)/(Tarefas[Status]=B$4),ROWS(B$6:B39)))=0,"Sem prazo",TEXT(INDEX(Tarefas[Prazo],_xlfn.AGGREGATE(15,6,(ROW(Tarefas[ID])-ROW(INDEX(Tarefas[ID],1))+1)/(Tarefas[Status]=B$4),ROWS(B$6:B39))),"dd/mm/yyyy")),"")</f>
        <v/>
      </c>
      <c r="C39" s="19" t="str">
        <f>IFERROR(INDEX(Tarefas[ID],_xlfn.AGGREGATE(15,6,(ROW(Tarefas[ID])-ROW(INDEX(Tarefas[ID],1))+1)/(Tarefas[Status]=C$4),ROWS(C$6:C39)))&amp;" | "&amp;INDEX(Tarefas[Tarefa],_xlfn.AGGREGATE(15,6,(ROW(Tarefas[ID])-ROW(INDEX(Tarefas[ID],1))+1)/(Tarefas[Status]=C$4),ROWS(C$6:C39)))&amp;CHAR(10)&amp;INDEX(Tarefas[Prioridade],_xlfn.AGGREGATE(15,6,(ROW(Tarefas[ID])-ROW(INDEX(Tarefas[ID],1))+1)/(Tarefas[Status]=C$4),ROWS(C$6:C39)))&amp;" · "&amp;INDEX(Tarefas[Responsável],_xlfn.AGGREGATE(15,6,(ROW(Tarefas[ID])-ROW(INDEX(Tarefas[ID],1))+1)/(Tarefas[Status]=C$4),ROWS(C$6:C39)))&amp;CHAR(10)&amp;IF(INDEX(Tarefas[Prazo],_xlfn.AGGREGATE(15,6,(ROW(Tarefas[ID])-ROW(INDEX(Tarefas[ID],1))+1)/(Tarefas[Status]=C$4),ROWS(C$6:C39)))=0,"Sem prazo",TEXT(INDEX(Tarefas[Prazo],_xlfn.AGGREGATE(15,6,(ROW(Tarefas[ID])-ROW(INDEX(Tarefas[ID],1))+1)/(Tarefas[Status]=C$4),ROWS(C$6:C39))),"dd/mm/yyyy")),"")</f>
        <v/>
      </c>
      <c r="D39" s="19" t="str">
        <f>IFERROR(INDEX(Tarefas[ID],_xlfn.AGGREGATE(15,6,(ROW(Tarefas[ID])-ROW(INDEX(Tarefas[ID],1))+1)/(Tarefas[Status]=D$4),ROWS(D$6:D39)))&amp;" | "&amp;INDEX(Tarefas[Tarefa],_xlfn.AGGREGATE(15,6,(ROW(Tarefas[ID])-ROW(INDEX(Tarefas[ID],1))+1)/(Tarefas[Status]=D$4),ROWS(D$6:D39)))&amp;CHAR(10)&amp;INDEX(Tarefas[Prioridade],_xlfn.AGGREGATE(15,6,(ROW(Tarefas[ID])-ROW(INDEX(Tarefas[ID],1))+1)/(Tarefas[Status]=D$4),ROWS(D$6:D39)))&amp;" · "&amp;INDEX(Tarefas[Responsável],_xlfn.AGGREGATE(15,6,(ROW(Tarefas[ID])-ROW(INDEX(Tarefas[ID],1))+1)/(Tarefas[Status]=D$4),ROWS(D$6:D39)))&amp;CHAR(10)&amp;IF(INDEX(Tarefas[Prazo],_xlfn.AGGREGATE(15,6,(ROW(Tarefas[ID])-ROW(INDEX(Tarefas[ID],1))+1)/(Tarefas[Status]=D$4),ROWS(D$6:D39)))=0,"Sem prazo",TEXT(INDEX(Tarefas[Prazo],_xlfn.AGGREGATE(15,6,(ROW(Tarefas[ID])-ROW(INDEX(Tarefas[ID],1))+1)/(Tarefas[Status]=D$4),ROWS(D$6:D39))),"dd/mm/yyyy")),"")</f>
        <v/>
      </c>
      <c r="E39" s="19" t="str">
        <f>IFERROR(INDEX(Tarefas[ID],_xlfn.AGGREGATE(15,6,(ROW(Tarefas[ID])-ROW(INDEX(Tarefas[ID],1))+1)/(Tarefas[Status]=E$4),ROWS(E$6:E39)))&amp;" | "&amp;INDEX(Tarefas[Tarefa],_xlfn.AGGREGATE(15,6,(ROW(Tarefas[ID])-ROW(INDEX(Tarefas[ID],1))+1)/(Tarefas[Status]=E$4),ROWS(E$6:E39)))&amp;CHAR(10)&amp;INDEX(Tarefas[Prioridade],_xlfn.AGGREGATE(15,6,(ROW(Tarefas[ID])-ROW(INDEX(Tarefas[ID],1))+1)/(Tarefas[Status]=E$4),ROWS(E$6:E39)))&amp;" · "&amp;INDEX(Tarefas[Responsável],_xlfn.AGGREGATE(15,6,(ROW(Tarefas[ID])-ROW(INDEX(Tarefas[ID],1))+1)/(Tarefas[Status]=E$4),ROWS(E$6:E39)))&amp;CHAR(10)&amp;IF(INDEX(Tarefas[Prazo],_xlfn.AGGREGATE(15,6,(ROW(Tarefas[ID])-ROW(INDEX(Tarefas[ID],1))+1)/(Tarefas[Status]=E$4),ROWS(E$6:E39)))=0,"Sem prazo",TEXT(INDEX(Tarefas[Prazo],_xlfn.AGGREGATE(15,6,(ROW(Tarefas[ID])-ROW(INDEX(Tarefas[ID],1))+1)/(Tarefas[Status]=E$4),ROWS(E$6:E39))),"dd/mm/yyyy")),"")</f>
        <v/>
      </c>
      <c r="F39" s="19" t="str">
        <f>IFERROR(INDEX(Tarefas[ID],_xlfn.AGGREGATE(15,6,(ROW(Tarefas[ID])-ROW(INDEX(Tarefas[ID],1))+1)/(Tarefas[Status]=F$4),ROWS(F$6:F39)))&amp;" | "&amp;INDEX(Tarefas[Tarefa],_xlfn.AGGREGATE(15,6,(ROW(Tarefas[ID])-ROW(INDEX(Tarefas[ID],1))+1)/(Tarefas[Status]=F$4),ROWS(F$6:F39)))&amp;CHAR(10)&amp;INDEX(Tarefas[Prioridade],_xlfn.AGGREGATE(15,6,(ROW(Tarefas[ID])-ROW(INDEX(Tarefas[ID],1))+1)/(Tarefas[Status]=F$4),ROWS(F$6:F39)))&amp;" · "&amp;INDEX(Tarefas[Responsável],_xlfn.AGGREGATE(15,6,(ROW(Tarefas[ID])-ROW(INDEX(Tarefas[ID],1))+1)/(Tarefas[Status]=F$4),ROWS(F$6:F39)))&amp;CHAR(10)&amp;IF(INDEX(Tarefas[Prazo],_xlfn.AGGREGATE(15,6,(ROW(Tarefas[ID])-ROW(INDEX(Tarefas[ID],1))+1)/(Tarefas[Status]=F$4),ROWS(F$6:F39)))=0,"Sem prazo",TEXT(INDEX(Tarefas[Prazo],_xlfn.AGGREGATE(15,6,(ROW(Tarefas[ID])-ROW(INDEX(Tarefas[ID],1))+1)/(Tarefas[Status]=F$4),ROWS(F$6:F39))),"dd/mm/yyyy")),"")</f>
        <v/>
      </c>
    </row>
    <row r="40" spans="1:6" ht="93.95" customHeight="1" x14ac:dyDescent="0.25">
      <c r="A40" s="18" t="str">
        <f>IFERROR(INDEX(Tarefas[ID],_xlfn.AGGREGATE(15,6,(ROW(Tarefas[ID])-ROW(INDEX(Tarefas[ID],1))+1)/(Tarefas[Status]=A$4),ROWS(A$6:A40)))&amp;" | "&amp;INDEX(Tarefas[Tarefa],_xlfn.AGGREGATE(15,6,(ROW(Tarefas[ID])-ROW(INDEX(Tarefas[ID],1))+1)/(Tarefas[Status]=A$4),ROWS(A$6:A40)))&amp;CHAR(10)&amp;INDEX(Tarefas[Prioridade],_xlfn.AGGREGATE(15,6,(ROW(Tarefas[ID])-ROW(INDEX(Tarefas[ID],1))+1)/(Tarefas[Status]=A$4),ROWS(A$6:A40)))&amp;" · "&amp;INDEX(Tarefas[Responsável],_xlfn.AGGREGATE(15,6,(ROW(Tarefas[ID])-ROW(INDEX(Tarefas[ID],1))+1)/(Tarefas[Status]=A$4),ROWS(A$6:A40)))&amp;CHAR(10)&amp;IF(INDEX(Tarefas[Prazo],_xlfn.AGGREGATE(15,6,(ROW(Tarefas[ID])-ROW(INDEX(Tarefas[ID],1))+1)/(Tarefas[Status]=A$4),ROWS(A$6:A40)))=0,"Sem prazo",TEXT(INDEX(Tarefas[Prazo],_xlfn.AGGREGATE(15,6,(ROW(Tarefas[ID])-ROW(INDEX(Tarefas[ID],1))+1)/(Tarefas[Status]=A$4),ROWS(A$6:A40))),"dd/mm/yyyy")),"")</f>
        <v/>
      </c>
      <c r="B40" s="18" t="str">
        <f>IFERROR(INDEX(Tarefas[ID],_xlfn.AGGREGATE(15,6,(ROW(Tarefas[ID])-ROW(INDEX(Tarefas[ID],1))+1)/(Tarefas[Status]=B$4),ROWS(B$6:B40)))&amp;" | "&amp;INDEX(Tarefas[Tarefa],_xlfn.AGGREGATE(15,6,(ROW(Tarefas[ID])-ROW(INDEX(Tarefas[ID],1))+1)/(Tarefas[Status]=B$4),ROWS(B$6:B40)))&amp;CHAR(10)&amp;INDEX(Tarefas[Prioridade],_xlfn.AGGREGATE(15,6,(ROW(Tarefas[ID])-ROW(INDEX(Tarefas[ID],1))+1)/(Tarefas[Status]=B$4),ROWS(B$6:B40)))&amp;" · "&amp;INDEX(Tarefas[Responsável],_xlfn.AGGREGATE(15,6,(ROW(Tarefas[ID])-ROW(INDEX(Tarefas[ID],1))+1)/(Tarefas[Status]=B$4),ROWS(B$6:B40)))&amp;CHAR(10)&amp;IF(INDEX(Tarefas[Prazo],_xlfn.AGGREGATE(15,6,(ROW(Tarefas[ID])-ROW(INDEX(Tarefas[ID],1))+1)/(Tarefas[Status]=B$4),ROWS(B$6:B40)))=0,"Sem prazo",TEXT(INDEX(Tarefas[Prazo],_xlfn.AGGREGATE(15,6,(ROW(Tarefas[ID])-ROW(INDEX(Tarefas[ID],1))+1)/(Tarefas[Status]=B$4),ROWS(B$6:B40))),"dd/mm/yyyy")),"")</f>
        <v/>
      </c>
      <c r="C40" s="18" t="str">
        <f>IFERROR(INDEX(Tarefas[ID],_xlfn.AGGREGATE(15,6,(ROW(Tarefas[ID])-ROW(INDEX(Tarefas[ID],1))+1)/(Tarefas[Status]=C$4),ROWS(C$6:C40)))&amp;" | "&amp;INDEX(Tarefas[Tarefa],_xlfn.AGGREGATE(15,6,(ROW(Tarefas[ID])-ROW(INDEX(Tarefas[ID],1))+1)/(Tarefas[Status]=C$4),ROWS(C$6:C40)))&amp;CHAR(10)&amp;INDEX(Tarefas[Prioridade],_xlfn.AGGREGATE(15,6,(ROW(Tarefas[ID])-ROW(INDEX(Tarefas[ID],1))+1)/(Tarefas[Status]=C$4),ROWS(C$6:C40)))&amp;" · "&amp;INDEX(Tarefas[Responsável],_xlfn.AGGREGATE(15,6,(ROW(Tarefas[ID])-ROW(INDEX(Tarefas[ID],1))+1)/(Tarefas[Status]=C$4),ROWS(C$6:C40)))&amp;CHAR(10)&amp;IF(INDEX(Tarefas[Prazo],_xlfn.AGGREGATE(15,6,(ROW(Tarefas[ID])-ROW(INDEX(Tarefas[ID],1))+1)/(Tarefas[Status]=C$4),ROWS(C$6:C40)))=0,"Sem prazo",TEXT(INDEX(Tarefas[Prazo],_xlfn.AGGREGATE(15,6,(ROW(Tarefas[ID])-ROW(INDEX(Tarefas[ID],1))+1)/(Tarefas[Status]=C$4),ROWS(C$6:C40))),"dd/mm/yyyy")),"")</f>
        <v/>
      </c>
      <c r="D40" s="18" t="str">
        <f>IFERROR(INDEX(Tarefas[ID],_xlfn.AGGREGATE(15,6,(ROW(Tarefas[ID])-ROW(INDEX(Tarefas[ID],1))+1)/(Tarefas[Status]=D$4),ROWS(D$6:D40)))&amp;" | "&amp;INDEX(Tarefas[Tarefa],_xlfn.AGGREGATE(15,6,(ROW(Tarefas[ID])-ROW(INDEX(Tarefas[ID],1))+1)/(Tarefas[Status]=D$4),ROWS(D$6:D40)))&amp;CHAR(10)&amp;INDEX(Tarefas[Prioridade],_xlfn.AGGREGATE(15,6,(ROW(Tarefas[ID])-ROW(INDEX(Tarefas[ID],1))+1)/(Tarefas[Status]=D$4),ROWS(D$6:D40)))&amp;" · "&amp;INDEX(Tarefas[Responsável],_xlfn.AGGREGATE(15,6,(ROW(Tarefas[ID])-ROW(INDEX(Tarefas[ID],1))+1)/(Tarefas[Status]=D$4),ROWS(D$6:D40)))&amp;CHAR(10)&amp;IF(INDEX(Tarefas[Prazo],_xlfn.AGGREGATE(15,6,(ROW(Tarefas[ID])-ROW(INDEX(Tarefas[ID],1))+1)/(Tarefas[Status]=D$4),ROWS(D$6:D40)))=0,"Sem prazo",TEXT(INDEX(Tarefas[Prazo],_xlfn.AGGREGATE(15,6,(ROW(Tarefas[ID])-ROW(INDEX(Tarefas[ID],1))+1)/(Tarefas[Status]=D$4),ROWS(D$6:D40))),"dd/mm/yyyy")),"")</f>
        <v/>
      </c>
      <c r="E40" s="18" t="str">
        <f>IFERROR(INDEX(Tarefas[ID],_xlfn.AGGREGATE(15,6,(ROW(Tarefas[ID])-ROW(INDEX(Tarefas[ID],1))+1)/(Tarefas[Status]=E$4),ROWS(E$6:E40)))&amp;" | "&amp;INDEX(Tarefas[Tarefa],_xlfn.AGGREGATE(15,6,(ROW(Tarefas[ID])-ROW(INDEX(Tarefas[ID],1))+1)/(Tarefas[Status]=E$4),ROWS(E$6:E40)))&amp;CHAR(10)&amp;INDEX(Tarefas[Prioridade],_xlfn.AGGREGATE(15,6,(ROW(Tarefas[ID])-ROW(INDEX(Tarefas[ID],1))+1)/(Tarefas[Status]=E$4),ROWS(E$6:E40)))&amp;" · "&amp;INDEX(Tarefas[Responsável],_xlfn.AGGREGATE(15,6,(ROW(Tarefas[ID])-ROW(INDEX(Tarefas[ID],1))+1)/(Tarefas[Status]=E$4),ROWS(E$6:E40)))&amp;CHAR(10)&amp;IF(INDEX(Tarefas[Prazo],_xlfn.AGGREGATE(15,6,(ROW(Tarefas[ID])-ROW(INDEX(Tarefas[ID],1))+1)/(Tarefas[Status]=E$4),ROWS(E$6:E40)))=0,"Sem prazo",TEXT(INDEX(Tarefas[Prazo],_xlfn.AGGREGATE(15,6,(ROW(Tarefas[ID])-ROW(INDEX(Tarefas[ID],1))+1)/(Tarefas[Status]=E$4),ROWS(E$6:E40))),"dd/mm/yyyy")),"")</f>
        <v/>
      </c>
      <c r="F40" s="18" t="str">
        <f>IFERROR(INDEX(Tarefas[ID],_xlfn.AGGREGATE(15,6,(ROW(Tarefas[ID])-ROW(INDEX(Tarefas[ID],1))+1)/(Tarefas[Status]=F$4),ROWS(F$6:F40)))&amp;" | "&amp;INDEX(Tarefas[Tarefa],_xlfn.AGGREGATE(15,6,(ROW(Tarefas[ID])-ROW(INDEX(Tarefas[ID],1))+1)/(Tarefas[Status]=F$4),ROWS(F$6:F40)))&amp;CHAR(10)&amp;INDEX(Tarefas[Prioridade],_xlfn.AGGREGATE(15,6,(ROW(Tarefas[ID])-ROW(INDEX(Tarefas[ID],1))+1)/(Tarefas[Status]=F$4),ROWS(F$6:F40)))&amp;" · "&amp;INDEX(Tarefas[Responsável],_xlfn.AGGREGATE(15,6,(ROW(Tarefas[ID])-ROW(INDEX(Tarefas[ID],1))+1)/(Tarefas[Status]=F$4),ROWS(F$6:F40)))&amp;CHAR(10)&amp;IF(INDEX(Tarefas[Prazo],_xlfn.AGGREGATE(15,6,(ROW(Tarefas[ID])-ROW(INDEX(Tarefas[ID],1))+1)/(Tarefas[Status]=F$4),ROWS(F$6:F40)))=0,"Sem prazo",TEXT(INDEX(Tarefas[Prazo],_xlfn.AGGREGATE(15,6,(ROW(Tarefas[ID])-ROW(INDEX(Tarefas[ID],1))+1)/(Tarefas[Status]=F$4),ROWS(F$6:F40))),"dd/mm/yyyy")),"")</f>
        <v/>
      </c>
    </row>
    <row r="41" spans="1:6" ht="93.95" customHeight="1" x14ac:dyDescent="0.25">
      <c r="A41" s="19" t="str">
        <f>IFERROR(INDEX(Tarefas[ID],_xlfn.AGGREGATE(15,6,(ROW(Tarefas[ID])-ROW(INDEX(Tarefas[ID],1))+1)/(Tarefas[Status]=A$4),ROWS(A$6:A41)))&amp;" | "&amp;INDEX(Tarefas[Tarefa],_xlfn.AGGREGATE(15,6,(ROW(Tarefas[ID])-ROW(INDEX(Tarefas[ID],1))+1)/(Tarefas[Status]=A$4),ROWS(A$6:A41)))&amp;CHAR(10)&amp;INDEX(Tarefas[Prioridade],_xlfn.AGGREGATE(15,6,(ROW(Tarefas[ID])-ROW(INDEX(Tarefas[ID],1))+1)/(Tarefas[Status]=A$4),ROWS(A$6:A41)))&amp;" · "&amp;INDEX(Tarefas[Responsável],_xlfn.AGGREGATE(15,6,(ROW(Tarefas[ID])-ROW(INDEX(Tarefas[ID],1))+1)/(Tarefas[Status]=A$4),ROWS(A$6:A41)))&amp;CHAR(10)&amp;IF(INDEX(Tarefas[Prazo],_xlfn.AGGREGATE(15,6,(ROW(Tarefas[ID])-ROW(INDEX(Tarefas[ID],1))+1)/(Tarefas[Status]=A$4),ROWS(A$6:A41)))=0,"Sem prazo",TEXT(INDEX(Tarefas[Prazo],_xlfn.AGGREGATE(15,6,(ROW(Tarefas[ID])-ROW(INDEX(Tarefas[ID],1))+1)/(Tarefas[Status]=A$4),ROWS(A$6:A41))),"dd/mm/yyyy")),"")</f>
        <v/>
      </c>
      <c r="B41" s="19" t="str">
        <f>IFERROR(INDEX(Tarefas[ID],_xlfn.AGGREGATE(15,6,(ROW(Tarefas[ID])-ROW(INDEX(Tarefas[ID],1))+1)/(Tarefas[Status]=B$4),ROWS(B$6:B41)))&amp;" | "&amp;INDEX(Tarefas[Tarefa],_xlfn.AGGREGATE(15,6,(ROW(Tarefas[ID])-ROW(INDEX(Tarefas[ID],1))+1)/(Tarefas[Status]=B$4),ROWS(B$6:B41)))&amp;CHAR(10)&amp;INDEX(Tarefas[Prioridade],_xlfn.AGGREGATE(15,6,(ROW(Tarefas[ID])-ROW(INDEX(Tarefas[ID],1))+1)/(Tarefas[Status]=B$4),ROWS(B$6:B41)))&amp;" · "&amp;INDEX(Tarefas[Responsável],_xlfn.AGGREGATE(15,6,(ROW(Tarefas[ID])-ROW(INDEX(Tarefas[ID],1))+1)/(Tarefas[Status]=B$4),ROWS(B$6:B41)))&amp;CHAR(10)&amp;IF(INDEX(Tarefas[Prazo],_xlfn.AGGREGATE(15,6,(ROW(Tarefas[ID])-ROW(INDEX(Tarefas[ID],1))+1)/(Tarefas[Status]=B$4),ROWS(B$6:B41)))=0,"Sem prazo",TEXT(INDEX(Tarefas[Prazo],_xlfn.AGGREGATE(15,6,(ROW(Tarefas[ID])-ROW(INDEX(Tarefas[ID],1))+1)/(Tarefas[Status]=B$4),ROWS(B$6:B41))),"dd/mm/yyyy")),"")</f>
        <v/>
      </c>
      <c r="C41" s="19" t="str">
        <f>IFERROR(INDEX(Tarefas[ID],_xlfn.AGGREGATE(15,6,(ROW(Tarefas[ID])-ROW(INDEX(Tarefas[ID],1))+1)/(Tarefas[Status]=C$4),ROWS(C$6:C41)))&amp;" | "&amp;INDEX(Tarefas[Tarefa],_xlfn.AGGREGATE(15,6,(ROW(Tarefas[ID])-ROW(INDEX(Tarefas[ID],1))+1)/(Tarefas[Status]=C$4),ROWS(C$6:C41)))&amp;CHAR(10)&amp;INDEX(Tarefas[Prioridade],_xlfn.AGGREGATE(15,6,(ROW(Tarefas[ID])-ROW(INDEX(Tarefas[ID],1))+1)/(Tarefas[Status]=C$4),ROWS(C$6:C41)))&amp;" · "&amp;INDEX(Tarefas[Responsável],_xlfn.AGGREGATE(15,6,(ROW(Tarefas[ID])-ROW(INDEX(Tarefas[ID],1))+1)/(Tarefas[Status]=C$4),ROWS(C$6:C41)))&amp;CHAR(10)&amp;IF(INDEX(Tarefas[Prazo],_xlfn.AGGREGATE(15,6,(ROW(Tarefas[ID])-ROW(INDEX(Tarefas[ID],1))+1)/(Tarefas[Status]=C$4),ROWS(C$6:C41)))=0,"Sem prazo",TEXT(INDEX(Tarefas[Prazo],_xlfn.AGGREGATE(15,6,(ROW(Tarefas[ID])-ROW(INDEX(Tarefas[ID],1))+1)/(Tarefas[Status]=C$4),ROWS(C$6:C41))),"dd/mm/yyyy")),"")</f>
        <v/>
      </c>
      <c r="D41" s="19" t="str">
        <f>IFERROR(INDEX(Tarefas[ID],_xlfn.AGGREGATE(15,6,(ROW(Tarefas[ID])-ROW(INDEX(Tarefas[ID],1))+1)/(Tarefas[Status]=D$4),ROWS(D$6:D41)))&amp;" | "&amp;INDEX(Tarefas[Tarefa],_xlfn.AGGREGATE(15,6,(ROW(Tarefas[ID])-ROW(INDEX(Tarefas[ID],1))+1)/(Tarefas[Status]=D$4),ROWS(D$6:D41)))&amp;CHAR(10)&amp;INDEX(Tarefas[Prioridade],_xlfn.AGGREGATE(15,6,(ROW(Tarefas[ID])-ROW(INDEX(Tarefas[ID],1))+1)/(Tarefas[Status]=D$4),ROWS(D$6:D41)))&amp;" · "&amp;INDEX(Tarefas[Responsável],_xlfn.AGGREGATE(15,6,(ROW(Tarefas[ID])-ROW(INDEX(Tarefas[ID],1))+1)/(Tarefas[Status]=D$4),ROWS(D$6:D41)))&amp;CHAR(10)&amp;IF(INDEX(Tarefas[Prazo],_xlfn.AGGREGATE(15,6,(ROW(Tarefas[ID])-ROW(INDEX(Tarefas[ID],1))+1)/(Tarefas[Status]=D$4),ROWS(D$6:D41)))=0,"Sem prazo",TEXT(INDEX(Tarefas[Prazo],_xlfn.AGGREGATE(15,6,(ROW(Tarefas[ID])-ROW(INDEX(Tarefas[ID],1))+1)/(Tarefas[Status]=D$4),ROWS(D$6:D41))),"dd/mm/yyyy")),"")</f>
        <v/>
      </c>
      <c r="E41" s="19" t="str">
        <f>IFERROR(INDEX(Tarefas[ID],_xlfn.AGGREGATE(15,6,(ROW(Tarefas[ID])-ROW(INDEX(Tarefas[ID],1))+1)/(Tarefas[Status]=E$4),ROWS(E$6:E41)))&amp;" | "&amp;INDEX(Tarefas[Tarefa],_xlfn.AGGREGATE(15,6,(ROW(Tarefas[ID])-ROW(INDEX(Tarefas[ID],1))+1)/(Tarefas[Status]=E$4),ROWS(E$6:E41)))&amp;CHAR(10)&amp;INDEX(Tarefas[Prioridade],_xlfn.AGGREGATE(15,6,(ROW(Tarefas[ID])-ROW(INDEX(Tarefas[ID],1))+1)/(Tarefas[Status]=E$4),ROWS(E$6:E41)))&amp;" · "&amp;INDEX(Tarefas[Responsável],_xlfn.AGGREGATE(15,6,(ROW(Tarefas[ID])-ROW(INDEX(Tarefas[ID],1))+1)/(Tarefas[Status]=E$4),ROWS(E$6:E41)))&amp;CHAR(10)&amp;IF(INDEX(Tarefas[Prazo],_xlfn.AGGREGATE(15,6,(ROW(Tarefas[ID])-ROW(INDEX(Tarefas[ID],1))+1)/(Tarefas[Status]=E$4),ROWS(E$6:E41)))=0,"Sem prazo",TEXT(INDEX(Tarefas[Prazo],_xlfn.AGGREGATE(15,6,(ROW(Tarefas[ID])-ROW(INDEX(Tarefas[ID],1))+1)/(Tarefas[Status]=E$4),ROWS(E$6:E41))),"dd/mm/yyyy")),"")</f>
        <v/>
      </c>
      <c r="F41" s="19" t="str">
        <f>IFERROR(INDEX(Tarefas[ID],_xlfn.AGGREGATE(15,6,(ROW(Tarefas[ID])-ROW(INDEX(Tarefas[ID],1))+1)/(Tarefas[Status]=F$4),ROWS(F$6:F41)))&amp;" | "&amp;INDEX(Tarefas[Tarefa],_xlfn.AGGREGATE(15,6,(ROW(Tarefas[ID])-ROW(INDEX(Tarefas[ID],1))+1)/(Tarefas[Status]=F$4),ROWS(F$6:F41)))&amp;CHAR(10)&amp;INDEX(Tarefas[Prioridade],_xlfn.AGGREGATE(15,6,(ROW(Tarefas[ID])-ROW(INDEX(Tarefas[ID],1))+1)/(Tarefas[Status]=F$4),ROWS(F$6:F41)))&amp;" · "&amp;INDEX(Tarefas[Responsável],_xlfn.AGGREGATE(15,6,(ROW(Tarefas[ID])-ROW(INDEX(Tarefas[ID],1))+1)/(Tarefas[Status]=F$4),ROWS(F$6:F41)))&amp;CHAR(10)&amp;IF(INDEX(Tarefas[Prazo],_xlfn.AGGREGATE(15,6,(ROW(Tarefas[ID])-ROW(INDEX(Tarefas[ID],1))+1)/(Tarefas[Status]=F$4),ROWS(F$6:F41)))=0,"Sem prazo",TEXT(INDEX(Tarefas[Prazo],_xlfn.AGGREGATE(15,6,(ROW(Tarefas[ID])-ROW(INDEX(Tarefas[ID],1))+1)/(Tarefas[Status]=F$4),ROWS(F$6:F41))),"dd/mm/yyyy")),"")</f>
        <v/>
      </c>
    </row>
    <row r="42" spans="1:6" ht="93.95" customHeight="1" x14ac:dyDescent="0.25">
      <c r="A42" s="18" t="str">
        <f>IFERROR(INDEX(Tarefas[ID],_xlfn.AGGREGATE(15,6,(ROW(Tarefas[ID])-ROW(INDEX(Tarefas[ID],1))+1)/(Tarefas[Status]=A$4),ROWS(A$6:A42)))&amp;" | "&amp;INDEX(Tarefas[Tarefa],_xlfn.AGGREGATE(15,6,(ROW(Tarefas[ID])-ROW(INDEX(Tarefas[ID],1))+1)/(Tarefas[Status]=A$4),ROWS(A$6:A42)))&amp;CHAR(10)&amp;INDEX(Tarefas[Prioridade],_xlfn.AGGREGATE(15,6,(ROW(Tarefas[ID])-ROW(INDEX(Tarefas[ID],1))+1)/(Tarefas[Status]=A$4),ROWS(A$6:A42)))&amp;" · "&amp;INDEX(Tarefas[Responsável],_xlfn.AGGREGATE(15,6,(ROW(Tarefas[ID])-ROW(INDEX(Tarefas[ID],1))+1)/(Tarefas[Status]=A$4),ROWS(A$6:A42)))&amp;CHAR(10)&amp;IF(INDEX(Tarefas[Prazo],_xlfn.AGGREGATE(15,6,(ROW(Tarefas[ID])-ROW(INDEX(Tarefas[ID],1))+1)/(Tarefas[Status]=A$4),ROWS(A$6:A42)))=0,"Sem prazo",TEXT(INDEX(Tarefas[Prazo],_xlfn.AGGREGATE(15,6,(ROW(Tarefas[ID])-ROW(INDEX(Tarefas[ID],1))+1)/(Tarefas[Status]=A$4),ROWS(A$6:A42))),"dd/mm/yyyy")),"")</f>
        <v/>
      </c>
      <c r="B42" s="18" t="str">
        <f>IFERROR(INDEX(Tarefas[ID],_xlfn.AGGREGATE(15,6,(ROW(Tarefas[ID])-ROW(INDEX(Tarefas[ID],1))+1)/(Tarefas[Status]=B$4),ROWS(B$6:B42)))&amp;" | "&amp;INDEX(Tarefas[Tarefa],_xlfn.AGGREGATE(15,6,(ROW(Tarefas[ID])-ROW(INDEX(Tarefas[ID],1))+1)/(Tarefas[Status]=B$4),ROWS(B$6:B42)))&amp;CHAR(10)&amp;INDEX(Tarefas[Prioridade],_xlfn.AGGREGATE(15,6,(ROW(Tarefas[ID])-ROW(INDEX(Tarefas[ID],1))+1)/(Tarefas[Status]=B$4),ROWS(B$6:B42)))&amp;" · "&amp;INDEX(Tarefas[Responsável],_xlfn.AGGREGATE(15,6,(ROW(Tarefas[ID])-ROW(INDEX(Tarefas[ID],1))+1)/(Tarefas[Status]=B$4),ROWS(B$6:B42)))&amp;CHAR(10)&amp;IF(INDEX(Tarefas[Prazo],_xlfn.AGGREGATE(15,6,(ROW(Tarefas[ID])-ROW(INDEX(Tarefas[ID],1))+1)/(Tarefas[Status]=B$4),ROWS(B$6:B42)))=0,"Sem prazo",TEXT(INDEX(Tarefas[Prazo],_xlfn.AGGREGATE(15,6,(ROW(Tarefas[ID])-ROW(INDEX(Tarefas[ID],1))+1)/(Tarefas[Status]=B$4),ROWS(B$6:B42))),"dd/mm/yyyy")),"")</f>
        <v/>
      </c>
      <c r="C42" s="18" t="str">
        <f>IFERROR(INDEX(Tarefas[ID],_xlfn.AGGREGATE(15,6,(ROW(Tarefas[ID])-ROW(INDEX(Tarefas[ID],1))+1)/(Tarefas[Status]=C$4),ROWS(C$6:C42)))&amp;" | "&amp;INDEX(Tarefas[Tarefa],_xlfn.AGGREGATE(15,6,(ROW(Tarefas[ID])-ROW(INDEX(Tarefas[ID],1))+1)/(Tarefas[Status]=C$4),ROWS(C$6:C42)))&amp;CHAR(10)&amp;INDEX(Tarefas[Prioridade],_xlfn.AGGREGATE(15,6,(ROW(Tarefas[ID])-ROW(INDEX(Tarefas[ID],1))+1)/(Tarefas[Status]=C$4),ROWS(C$6:C42)))&amp;" · "&amp;INDEX(Tarefas[Responsável],_xlfn.AGGREGATE(15,6,(ROW(Tarefas[ID])-ROW(INDEX(Tarefas[ID],1))+1)/(Tarefas[Status]=C$4),ROWS(C$6:C42)))&amp;CHAR(10)&amp;IF(INDEX(Tarefas[Prazo],_xlfn.AGGREGATE(15,6,(ROW(Tarefas[ID])-ROW(INDEX(Tarefas[ID],1))+1)/(Tarefas[Status]=C$4),ROWS(C$6:C42)))=0,"Sem prazo",TEXT(INDEX(Tarefas[Prazo],_xlfn.AGGREGATE(15,6,(ROW(Tarefas[ID])-ROW(INDEX(Tarefas[ID],1))+1)/(Tarefas[Status]=C$4),ROWS(C$6:C42))),"dd/mm/yyyy")),"")</f>
        <v/>
      </c>
      <c r="D42" s="18" t="str">
        <f>IFERROR(INDEX(Tarefas[ID],_xlfn.AGGREGATE(15,6,(ROW(Tarefas[ID])-ROW(INDEX(Tarefas[ID],1))+1)/(Tarefas[Status]=D$4),ROWS(D$6:D42)))&amp;" | "&amp;INDEX(Tarefas[Tarefa],_xlfn.AGGREGATE(15,6,(ROW(Tarefas[ID])-ROW(INDEX(Tarefas[ID],1))+1)/(Tarefas[Status]=D$4),ROWS(D$6:D42)))&amp;CHAR(10)&amp;INDEX(Tarefas[Prioridade],_xlfn.AGGREGATE(15,6,(ROW(Tarefas[ID])-ROW(INDEX(Tarefas[ID],1))+1)/(Tarefas[Status]=D$4),ROWS(D$6:D42)))&amp;" · "&amp;INDEX(Tarefas[Responsável],_xlfn.AGGREGATE(15,6,(ROW(Tarefas[ID])-ROW(INDEX(Tarefas[ID],1))+1)/(Tarefas[Status]=D$4),ROWS(D$6:D42)))&amp;CHAR(10)&amp;IF(INDEX(Tarefas[Prazo],_xlfn.AGGREGATE(15,6,(ROW(Tarefas[ID])-ROW(INDEX(Tarefas[ID],1))+1)/(Tarefas[Status]=D$4),ROWS(D$6:D42)))=0,"Sem prazo",TEXT(INDEX(Tarefas[Prazo],_xlfn.AGGREGATE(15,6,(ROW(Tarefas[ID])-ROW(INDEX(Tarefas[ID],1))+1)/(Tarefas[Status]=D$4),ROWS(D$6:D42))),"dd/mm/yyyy")),"")</f>
        <v/>
      </c>
      <c r="E42" s="18" t="str">
        <f>IFERROR(INDEX(Tarefas[ID],_xlfn.AGGREGATE(15,6,(ROW(Tarefas[ID])-ROW(INDEX(Tarefas[ID],1))+1)/(Tarefas[Status]=E$4),ROWS(E$6:E42)))&amp;" | "&amp;INDEX(Tarefas[Tarefa],_xlfn.AGGREGATE(15,6,(ROW(Tarefas[ID])-ROW(INDEX(Tarefas[ID],1))+1)/(Tarefas[Status]=E$4),ROWS(E$6:E42)))&amp;CHAR(10)&amp;INDEX(Tarefas[Prioridade],_xlfn.AGGREGATE(15,6,(ROW(Tarefas[ID])-ROW(INDEX(Tarefas[ID],1))+1)/(Tarefas[Status]=E$4),ROWS(E$6:E42)))&amp;" · "&amp;INDEX(Tarefas[Responsável],_xlfn.AGGREGATE(15,6,(ROW(Tarefas[ID])-ROW(INDEX(Tarefas[ID],1))+1)/(Tarefas[Status]=E$4),ROWS(E$6:E42)))&amp;CHAR(10)&amp;IF(INDEX(Tarefas[Prazo],_xlfn.AGGREGATE(15,6,(ROW(Tarefas[ID])-ROW(INDEX(Tarefas[ID],1))+1)/(Tarefas[Status]=E$4),ROWS(E$6:E42)))=0,"Sem prazo",TEXT(INDEX(Tarefas[Prazo],_xlfn.AGGREGATE(15,6,(ROW(Tarefas[ID])-ROW(INDEX(Tarefas[ID],1))+1)/(Tarefas[Status]=E$4),ROWS(E$6:E42))),"dd/mm/yyyy")),"")</f>
        <v/>
      </c>
      <c r="F42" s="18" t="str">
        <f>IFERROR(INDEX(Tarefas[ID],_xlfn.AGGREGATE(15,6,(ROW(Tarefas[ID])-ROW(INDEX(Tarefas[ID],1))+1)/(Tarefas[Status]=F$4),ROWS(F$6:F42)))&amp;" | "&amp;INDEX(Tarefas[Tarefa],_xlfn.AGGREGATE(15,6,(ROW(Tarefas[ID])-ROW(INDEX(Tarefas[ID],1))+1)/(Tarefas[Status]=F$4),ROWS(F$6:F42)))&amp;CHAR(10)&amp;INDEX(Tarefas[Prioridade],_xlfn.AGGREGATE(15,6,(ROW(Tarefas[ID])-ROW(INDEX(Tarefas[ID],1))+1)/(Tarefas[Status]=F$4),ROWS(F$6:F42)))&amp;" · "&amp;INDEX(Tarefas[Responsável],_xlfn.AGGREGATE(15,6,(ROW(Tarefas[ID])-ROW(INDEX(Tarefas[ID],1))+1)/(Tarefas[Status]=F$4),ROWS(F$6:F42)))&amp;CHAR(10)&amp;IF(INDEX(Tarefas[Prazo],_xlfn.AGGREGATE(15,6,(ROW(Tarefas[ID])-ROW(INDEX(Tarefas[ID],1))+1)/(Tarefas[Status]=F$4),ROWS(F$6:F42)))=0,"Sem prazo",TEXT(INDEX(Tarefas[Prazo],_xlfn.AGGREGATE(15,6,(ROW(Tarefas[ID])-ROW(INDEX(Tarefas[ID],1))+1)/(Tarefas[Status]=F$4),ROWS(F$6:F42))),"dd/mm/yyyy")),"")</f>
        <v/>
      </c>
    </row>
    <row r="43" spans="1:6" ht="93.95" customHeight="1" x14ac:dyDescent="0.25">
      <c r="A43" s="19" t="str">
        <f>IFERROR(INDEX(Tarefas[ID],_xlfn.AGGREGATE(15,6,(ROW(Tarefas[ID])-ROW(INDEX(Tarefas[ID],1))+1)/(Tarefas[Status]=A$4),ROWS(A$6:A43)))&amp;" | "&amp;INDEX(Tarefas[Tarefa],_xlfn.AGGREGATE(15,6,(ROW(Tarefas[ID])-ROW(INDEX(Tarefas[ID],1))+1)/(Tarefas[Status]=A$4),ROWS(A$6:A43)))&amp;CHAR(10)&amp;INDEX(Tarefas[Prioridade],_xlfn.AGGREGATE(15,6,(ROW(Tarefas[ID])-ROW(INDEX(Tarefas[ID],1))+1)/(Tarefas[Status]=A$4),ROWS(A$6:A43)))&amp;" · "&amp;INDEX(Tarefas[Responsável],_xlfn.AGGREGATE(15,6,(ROW(Tarefas[ID])-ROW(INDEX(Tarefas[ID],1))+1)/(Tarefas[Status]=A$4),ROWS(A$6:A43)))&amp;CHAR(10)&amp;IF(INDEX(Tarefas[Prazo],_xlfn.AGGREGATE(15,6,(ROW(Tarefas[ID])-ROW(INDEX(Tarefas[ID],1))+1)/(Tarefas[Status]=A$4),ROWS(A$6:A43)))=0,"Sem prazo",TEXT(INDEX(Tarefas[Prazo],_xlfn.AGGREGATE(15,6,(ROW(Tarefas[ID])-ROW(INDEX(Tarefas[ID],1))+1)/(Tarefas[Status]=A$4),ROWS(A$6:A43))),"dd/mm/yyyy")),"")</f>
        <v/>
      </c>
      <c r="B43" s="19" t="str">
        <f>IFERROR(INDEX(Tarefas[ID],_xlfn.AGGREGATE(15,6,(ROW(Tarefas[ID])-ROW(INDEX(Tarefas[ID],1))+1)/(Tarefas[Status]=B$4),ROWS(B$6:B43)))&amp;" | "&amp;INDEX(Tarefas[Tarefa],_xlfn.AGGREGATE(15,6,(ROW(Tarefas[ID])-ROW(INDEX(Tarefas[ID],1))+1)/(Tarefas[Status]=B$4),ROWS(B$6:B43)))&amp;CHAR(10)&amp;INDEX(Tarefas[Prioridade],_xlfn.AGGREGATE(15,6,(ROW(Tarefas[ID])-ROW(INDEX(Tarefas[ID],1))+1)/(Tarefas[Status]=B$4),ROWS(B$6:B43)))&amp;" · "&amp;INDEX(Tarefas[Responsável],_xlfn.AGGREGATE(15,6,(ROW(Tarefas[ID])-ROW(INDEX(Tarefas[ID],1))+1)/(Tarefas[Status]=B$4),ROWS(B$6:B43)))&amp;CHAR(10)&amp;IF(INDEX(Tarefas[Prazo],_xlfn.AGGREGATE(15,6,(ROW(Tarefas[ID])-ROW(INDEX(Tarefas[ID],1))+1)/(Tarefas[Status]=B$4),ROWS(B$6:B43)))=0,"Sem prazo",TEXT(INDEX(Tarefas[Prazo],_xlfn.AGGREGATE(15,6,(ROW(Tarefas[ID])-ROW(INDEX(Tarefas[ID],1))+1)/(Tarefas[Status]=B$4),ROWS(B$6:B43))),"dd/mm/yyyy")),"")</f>
        <v/>
      </c>
      <c r="C43" s="19" t="str">
        <f>IFERROR(INDEX(Tarefas[ID],_xlfn.AGGREGATE(15,6,(ROW(Tarefas[ID])-ROW(INDEX(Tarefas[ID],1))+1)/(Tarefas[Status]=C$4),ROWS(C$6:C43)))&amp;" | "&amp;INDEX(Tarefas[Tarefa],_xlfn.AGGREGATE(15,6,(ROW(Tarefas[ID])-ROW(INDEX(Tarefas[ID],1))+1)/(Tarefas[Status]=C$4),ROWS(C$6:C43)))&amp;CHAR(10)&amp;INDEX(Tarefas[Prioridade],_xlfn.AGGREGATE(15,6,(ROW(Tarefas[ID])-ROW(INDEX(Tarefas[ID],1))+1)/(Tarefas[Status]=C$4),ROWS(C$6:C43)))&amp;" · "&amp;INDEX(Tarefas[Responsável],_xlfn.AGGREGATE(15,6,(ROW(Tarefas[ID])-ROW(INDEX(Tarefas[ID],1))+1)/(Tarefas[Status]=C$4),ROWS(C$6:C43)))&amp;CHAR(10)&amp;IF(INDEX(Tarefas[Prazo],_xlfn.AGGREGATE(15,6,(ROW(Tarefas[ID])-ROW(INDEX(Tarefas[ID],1))+1)/(Tarefas[Status]=C$4),ROWS(C$6:C43)))=0,"Sem prazo",TEXT(INDEX(Tarefas[Prazo],_xlfn.AGGREGATE(15,6,(ROW(Tarefas[ID])-ROW(INDEX(Tarefas[ID],1))+1)/(Tarefas[Status]=C$4),ROWS(C$6:C43))),"dd/mm/yyyy")),"")</f>
        <v/>
      </c>
      <c r="D43" s="19" t="str">
        <f>IFERROR(INDEX(Tarefas[ID],_xlfn.AGGREGATE(15,6,(ROW(Tarefas[ID])-ROW(INDEX(Tarefas[ID],1))+1)/(Tarefas[Status]=D$4),ROWS(D$6:D43)))&amp;" | "&amp;INDEX(Tarefas[Tarefa],_xlfn.AGGREGATE(15,6,(ROW(Tarefas[ID])-ROW(INDEX(Tarefas[ID],1))+1)/(Tarefas[Status]=D$4),ROWS(D$6:D43)))&amp;CHAR(10)&amp;INDEX(Tarefas[Prioridade],_xlfn.AGGREGATE(15,6,(ROW(Tarefas[ID])-ROW(INDEX(Tarefas[ID],1))+1)/(Tarefas[Status]=D$4),ROWS(D$6:D43)))&amp;" · "&amp;INDEX(Tarefas[Responsável],_xlfn.AGGREGATE(15,6,(ROW(Tarefas[ID])-ROW(INDEX(Tarefas[ID],1))+1)/(Tarefas[Status]=D$4),ROWS(D$6:D43)))&amp;CHAR(10)&amp;IF(INDEX(Tarefas[Prazo],_xlfn.AGGREGATE(15,6,(ROW(Tarefas[ID])-ROW(INDEX(Tarefas[ID],1))+1)/(Tarefas[Status]=D$4),ROWS(D$6:D43)))=0,"Sem prazo",TEXT(INDEX(Tarefas[Prazo],_xlfn.AGGREGATE(15,6,(ROW(Tarefas[ID])-ROW(INDEX(Tarefas[ID],1))+1)/(Tarefas[Status]=D$4),ROWS(D$6:D43))),"dd/mm/yyyy")),"")</f>
        <v/>
      </c>
      <c r="E43" s="19" t="str">
        <f>IFERROR(INDEX(Tarefas[ID],_xlfn.AGGREGATE(15,6,(ROW(Tarefas[ID])-ROW(INDEX(Tarefas[ID],1))+1)/(Tarefas[Status]=E$4),ROWS(E$6:E43)))&amp;" | "&amp;INDEX(Tarefas[Tarefa],_xlfn.AGGREGATE(15,6,(ROW(Tarefas[ID])-ROW(INDEX(Tarefas[ID],1))+1)/(Tarefas[Status]=E$4),ROWS(E$6:E43)))&amp;CHAR(10)&amp;INDEX(Tarefas[Prioridade],_xlfn.AGGREGATE(15,6,(ROW(Tarefas[ID])-ROW(INDEX(Tarefas[ID],1))+1)/(Tarefas[Status]=E$4),ROWS(E$6:E43)))&amp;" · "&amp;INDEX(Tarefas[Responsável],_xlfn.AGGREGATE(15,6,(ROW(Tarefas[ID])-ROW(INDEX(Tarefas[ID],1))+1)/(Tarefas[Status]=E$4),ROWS(E$6:E43)))&amp;CHAR(10)&amp;IF(INDEX(Tarefas[Prazo],_xlfn.AGGREGATE(15,6,(ROW(Tarefas[ID])-ROW(INDEX(Tarefas[ID],1))+1)/(Tarefas[Status]=E$4),ROWS(E$6:E43)))=0,"Sem prazo",TEXT(INDEX(Tarefas[Prazo],_xlfn.AGGREGATE(15,6,(ROW(Tarefas[ID])-ROW(INDEX(Tarefas[ID],1))+1)/(Tarefas[Status]=E$4),ROWS(E$6:E43))),"dd/mm/yyyy")),"")</f>
        <v/>
      </c>
      <c r="F43" s="19" t="str">
        <f>IFERROR(INDEX(Tarefas[ID],_xlfn.AGGREGATE(15,6,(ROW(Tarefas[ID])-ROW(INDEX(Tarefas[ID],1))+1)/(Tarefas[Status]=F$4),ROWS(F$6:F43)))&amp;" | "&amp;INDEX(Tarefas[Tarefa],_xlfn.AGGREGATE(15,6,(ROW(Tarefas[ID])-ROW(INDEX(Tarefas[ID],1))+1)/(Tarefas[Status]=F$4),ROWS(F$6:F43)))&amp;CHAR(10)&amp;INDEX(Tarefas[Prioridade],_xlfn.AGGREGATE(15,6,(ROW(Tarefas[ID])-ROW(INDEX(Tarefas[ID],1))+1)/(Tarefas[Status]=F$4),ROWS(F$6:F43)))&amp;" · "&amp;INDEX(Tarefas[Responsável],_xlfn.AGGREGATE(15,6,(ROW(Tarefas[ID])-ROW(INDEX(Tarefas[ID],1))+1)/(Tarefas[Status]=F$4),ROWS(F$6:F43)))&amp;CHAR(10)&amp;IF(INDEX(Tarefas[Prazo],_xlfn.AGGREGATE(15,6,(ROW(Tarefas[ID])-ROW(INDEX(Tarefas[ID],1))+1)/(Tarefas[Status]=F$4),ROWS(F$6:F43)))=0,"Sem prazo",TEXT(INDEX(Tarefas[Prazo],_xlfn.AGGREGATE(15,6,(ROW(Tarefas[ID])-ROW(INDEX(Tarefas[ID],1))+1)/(Tarefas[Status]=F$4),ROWS(F$6:F43))),"dd/mm/yyyy")),"")</f>
        <v/>
      </c>
    </row>
    <row r="44" spans="1:6" ht="93.95" customHeight="1" x14ac:dyDescent="0.25">
      <c r="A44" s="18" t="str">
        <f>IFERROR(INDEX(Tarefas[ID],_xlfn.AGGREGATE(15,6,(ROW(Tarefas[ID])-ROW(INDEX(Tarefas[ID],1))+1)/(Tarefas[Status]=A$4),ROWS(A$6:A44)))&amp;" | "&amp;INDEX(Tarefas[Tarefa],_xlfn.AGGREGATE(15,6,(ROW(Tarefas[ID])-ROW(INDEX(Tarefas[ID],1))+1)/(Tarefas[Status]=A$4),ROWS(A$6:A44)))&amp;CHAR(10)&amp;INDEX(Tarefas[Prioridade],_xlfn.AGGREGATE(15,6,(ROW(Tarefas[ID])-ROW(INDEX(Tarefas[ID],1))+1)/(Tarefas[Status]=A$4),ROWS(A$6:A44)))&amp;" · "&amp;INDEX(Tarefas[Responsável],_xlfn.AGGREGATE(15,6,(ROW(Tarefas[ID])-ROW(INDEX(Tarefas[ID],1))+1)/(Tarefas[Status]=A$4),ROWS(A$6:A44)))&amp;CHAR(10)&amp;IF(INDEX(Tarefas[Prazo],_xlfn.AGGREGATE(15,6,(ROW(Tarefas[ID])-ROW(INDEX(Tarefas[ID],1))+1)/(Tarefas[Status]=A$4),ROWS(A$6:A44)))=0,"Sem prazo",TEXT(INDEX(Tarefas[Prazo],_xlfn.AGGREGATE(15,6,(ROW(Tarefas[ID])-ROW(INDEX(Tarefas[ID],1))+1)/(Tarefas[Status]=A$4),ROWS(A$6:A44))),"dd/mm/yyyy")),"")</f>
        <v/>
      </c>
      <c r="B44" s="18" t="str">
        <f>IFERROR(INDEX(Tarefas[ID],_xlfn.AGGREGATE(15,6,(ROW(Tarefas[ID])-ROW(INDEX(Tarefas[ID],1))+1)/(Tarefas[Status]=B$4),ROWS(B$6:B44)))&amp;" | "&amp;INDEX(Tarefas[Tarefa],_xlfn.AGGREGATE(15,6,(ROW(Tarefas[ID])-ROW(INDEX(Tarefas[ID],1))+1)/(Tarefas[Status]=B$4),ROWS(B$6:B44)))&amp;CHAR(10)&amp;INDEX(Tarefas[Prioridade],_xlfn.AGGREGATE(15,6,(ROW(Tarefas[ID])-ROW(INDEX(Tarefas[ID],1))+1)/(Tarefas[Status]=B$4),ROWS(B$6:B44)))&amp;" · "&amp;INDEX(Tarefas[Responsável],_xlfn.AGGREGATE(15,6,(ROW(Tarefas[ID])-ROW(INDEX(Tarefas[ID],1))+1)/(Tarefas[Status]=B$4),ROWS(B$6:B44)))&amp;CHAR(10)&amp;IF(INDEX(Tarefas[Prazo],_xlfn.AGGREGATE(15,6,(ROW(Tarefas[ID])-ROW(INDEX(Tarefas[ID],1))+1)/(Tarefas[Status]=B$4),ROWS(B$6:B44)))=0,"Sem prazo",TEXT(INDEX(Tarefas[Prazo],_xlfn.AGGREGATE(15,6,(ROW(Tarefas[ID])-ROW(INDEX(Tarefas[ID],1))+1)/(Tarefas[Status]=B$4),ROWS(B$6:B44))),"dd/mm/yyyy")),"")</f>
        <v/>
      </c>
      <c r="C44" s="18" t="str">
        <f>IFERROR(INDEX(Tarefas[ID],_xlfn.AGGREGATE(15,6,(ROW(Tarefas[ID])-ROW(INDEX(Tarefas[ID],1))+1)/(Tarefas[Status]=C$4),ROWS(C$6:C44)))&amp;" | "&amp;INDEX(Tarefas[Tarefa],_xlfn.AGGREGATE(15,6,(ROW(Tarefas[ID])-ROW(INDEX(Tarefas[ID],1))+1)/(Tarefas[Status]=C$4),ROWS(C$6:C44)))&amp;CHAR(10)&amp;INDEX(Tarefas[Prioridade],_xlfn.AGGREGATE(15,6,(ROW(Tarefas[ID])-ROW(INDEX(Tarefas[ID],1))+1)/(Tarefas[Status]=C$4),ROWS(C$6:C44)))&amp;" · "&amp;INDEX(Tarefas[Responsável],_xlfn.AGGREGATE(15,6,(ROW(Tarefas[ID])-ROW(INDEX(Tarefas[ID],1))+1)/(Tarefas[Status]=C$4),ROWS(C$6:C44)))&amp;CHAR(10)&amp;IF(INDEX(Tarefas[Prazo],_xlfn.AGGREGATE(15,6,(ROW(Tarefas[ID])-ROW(INDEX(Tarefas[ID],1))+1)/(Tarefas[Status]=C$4),ROWS(C$6:C44)))=0,"Sem prazo",TEXT(INDEX(Tarefas[Prazo],_xlfn.AGGREGATE(15,6,(ROW(Tarefas[ID])-ROW(INDEX(Tarefas[ID],1))+1)/(Tarefas[Status]=C$4),ROWS(C$6:C44))),"dd/mm/yyyy")),"")</f>
        <v/>
      </c>
      <c r="D44" s="18" t="str">
        <f>IFERROR(INDEX(Tarefas[ID],_xlfn.AGGREGATE(15,6,(ROW(Tarefas[ID])-ROW(INDEX(Tarefas[ID],1))+1)/(Tarefas[Status]=D$4),ROWS(D$6:D44)))&amp;" | "&amp;INDEX(Tarefas[Tarefa],_xlfn.AGGREGATE(15,6,(ROW(Tarefas[ID])-ROW(INDEX(Tarefas[ID],1))+1)/(Tarefas[Status]=D$4),ROWS(D$6:D44)))&amp;CHAR(10)&amp;INDEX(Tarefas[Prioridade],_xlfn.AGGREGATE(15,6,(ROW(Tarefas[ID])-ROW(INDEX(Tarefas[ID],1))+1)/(Tarefas[Status]=D$4),ROWS(D$6:D44)))&amp;" · "&amp;INDEX(Tarefas[Responsável],_xlfn.AGGREGATE(15,6,(ROW(Tarefas[ID])-ROW(INDEX(Tarefas[ID],1))+1)/(Tarefas[Status]=D$4),ROWS(D$6:D44)))&amp;CHAR(10)&amp;IF(INDEX(Tarefas[Prazo],_xlfn.AGGREGATE(15,6,(ROW(Tarefas[ID])-ROW(INDEX(Tarefas[ID],1))+1)/(Tarefas[Status]=D$4),ROWS(D$6:D44)))=0,"Sem prazo",TEXT(INDEX(Tarefas[Prazo],_xlfn.AGGREGATE(15,6,(ROW(Tarefas[ID])-ROW(INDEX(Tarefas[ID],1))+1)/(Tarefas[Status]=D$4),ROWS(D$6:D44))),"dd/mm/yyyy")),"")</f>
        <v/>
      </c>
      <c r="E44" s="18" t="str">
        <f>IFERROR(INDEX(Tarefas[ID],_xlfn.AGGREGATE(15,6,(ROW(Tarefas[ID])-ROW(INDEX(Tarefas[ID],1))+1)/(Tarefas[Status]=E$4),ROWS(E$6:E44)))&amp;" | "&amp;INDEX(Tarefas[Tarefa],_xlfn.AGGREGATE(15,6,(ROW(Tarefas[ID])-ROW(INDEX(Tarefas[ID],1))+1)/(Tarefas[Status]=E$4),ROWS(E$6:E44)))&amp;CHAR(10)&amp;INDEX(Tarefas[Prioridade],_xlfn.AGGREGATE(15,6,(ROW(Tarefas[ID])-ROW(INDEX(Tarefas[ID],1))+1)/(Tarefas[Status]=E$4),ROWS(E$6:E44)))&amp;" · "&amp;INDEX(Tarefas[Responsável],_xlfn.AGGREGATE(15,6,(ROW(Tarefas[ID])-ROW(INDEX(Tarefas[ID],1))+1)/(Tarefas[Status]=E$4),ROWS(E$6:E44)))&amp;CHAR(10)&amp;IF(INDEX(Tarefas[Prazo],_xlfn.AGGREGATE(15,6,(ROW(Tarefas[ID])-ROW(INDEX(Tarefas[ID],1))+1)/(Tarefas[Status]=E$4),ROWS(E$6:E44)))=0,"Sem prazo",TEXT(INDEX(Tarefas[Prazo],_xlfn.AGGREGATE(15,6,(ROW(Tarefas[ID])-ROW(INDEX(Tarefas[ID],1))+1)/(Tarefas[Status]=E$4),ROWS(E$6:E44))),"dd/mm/yyyy")),"")</f>
        <v/>
      </c>
      <c r="F44" s="18" t="str">
        <f>IFERROR(INDEX(Tarefas[ID],_xlfn.AGGREGATE(15,6,(ROW(Tarefas[ID])-ROW(INDEX(Tarefas[ID],1))+1)/(Tarefas[Status]=F$4),ROWS(F$6:F44)))&amp;" | "&amp;INDEX(Tarefas[Tarefa],_xlfn.AGGREGATE(15,6,(ROW(Tarefas[ID])-ROW(INDEX(Tarefas[ID],1))+1)/(Tarefas[Status]=F$4),ROWS(F$6:F44)))&amp;CHAR(10)&amp;INDEX(Tarefas[Prioridade],_xlfn.AGGREGATE(15,6,(ROW(Tarefas[ID])-ROW(INDEX(Tarefas[ID],1))+1)/(Tarefas[Status]=F$4),ROWS(F$6:F44)))&amp;" · "&amp;INDEX(Tarefas[Responsável],_xlfn.AGGREGATE(15,6,(ROW(Tarefas[ID])-ROW(INDEX(Tarefas[ID],1))+1)/(Tarefas[Status]=F$4),ROWS(F$6:F44)))&amp;CHAR(10)&amp;IF(INDEX(Tarefas[Prazo],_xlfn.AGGREGATE(15,6,(ROW(Tarefas[ID])-ROW(INDEX(Tarefas[ID],1))+1)/(Tarefas[Status]=F$4),ROWS(F$6:F44)))=0,"Sem prazo",TEXT(INDEX(Tarefas[Prazo],_xlfn.AGGREGATE(15,6,(ROW(Tarefas[ID])-ROW(INDEX(Tarefas[ID],1))+1)/(Tarefas[Status]=F$4),ROWS(F$6:F44))),"dd/mm/yyyy")),"")</f>
        <v/>
      </c>
    </row>
    <row r="45" spans="1:6" ht="93.95" customHeight="1" x14ac:dyDescent="0.25">
      <c r="A45" s="19" t="str">
        <f>IFERROR(INDEX(Tarefas[ID],_xlfn.AGGREGATE(15,6,(ROW(Tarefas[ID])-ROW(INDEX(Tarefas[ID],1))+1)/(Tarefas[Status]=A$4),ROWS(A$6:A45)))&amp;" | "&amp;INDEX(Tarefas[Tarefa],_xlfn.AGGREGATE(15,6,(ROW(Tarefas[ID])-ROW(INDEX(Tarefas[ID],1))+1)/(Tarefas[Status]=A$4),ROWS(A$6:A45)))&amp;CHAR(10)&amp;INDEX(Tarefas[Prioridade],_xlfn.AGGREGATE(15,6,(ROW(Tarefas[ID])-ROW(INDEX(Tarefas[ID],1))+1)/(Tarefas[Status]=A$4),ROWS(A$6:A45)))&amp;" · "&amp;INDEX(Tarefas[Responsável],_xlfn.AGGREGATE(15,6,(ROW(Tarefas[ID])-ROW(INDEX(Tarefas[ID],1))+1)/(Tarefas[Status]=A$4),ROWS(A$6:A45)))&amp;CHAR(10)&amp;IF(INDEX(Tarefas[Prazo],_xlfn.AGGREGATE(15,6,(ROW(Tarefas[ID])-ROW(INDEX(Tarefas[ID],1))+1)/(Tarefas[Status]=A$4),ROWS(A$6:A45)))=0,"Sem prazo",TEXT(INDEX(Tarefas[Prazo],_xlfn.AGGREGATE(15,6,(ROW(Tarefas[ID])-ROW(INDEX(Tarefas[ID],1))+1)/(Tarefas[Status]=A$4),ROWS(A$6:A45))),"dd/mm/yyyy")),"")</f>
        <v/>
      </c>
      <c r="B45" s="19" t="str">
        <f>IFERROR(INDEX(Tarefas[ID],_xlfn.AGGREGATE(15,6,(ROW(Tarefas[ID])-ROW(INDEX(Tarefas[ID],1))+1)/(Tarefas[Status]=B$4),ROWS(B$6:B45)))&amp;" | "&amp;INDEX(Tarefas[Tarefa],_xlfn.AGGREGATE(15,6,(ROW(Tarefas[ID])-ROW(INDEX(Tarefas[ID],1))+1)/(Tarefas[Status]=B$4),ROWS(B$6:B45)))&amp;CHAR(10)&amp;INDEX(Tarefas[Prioridade],_xlfn.AGGREGATE(15,6,(ROW(Tarefas[ID])-ROW(INDEX(Tarefas[ID],1))+1)/(Tarefas[Status]=B$4),ROWS(B$6:B45)))&amp;" · "&amp;INDEX(Tarefas[Responsável],_xlfn.AGGREGATE(15,6,(ROW(Tarefas[ID])-ROW(INDEX(Tarefas[ID],1))+1)/(Tarefas[Status]=B$4),ROWS(B$6:B45)))&amp;CHAR(10)&amp;IF(INDEX(Tarefas[Prazo],_xlfn.AGGREGATE(15,6,(ROW(Tarefas[ID])-ROW(INDEX(Tarefas[ID],1))+1)/(Tarefas[Status]=B$4),ROWS(B$6:B45)))=0,"Sem prazo",TEXT(INDEX(Tarefas[Prazo],_xlfn.AGGREGATE(15,6,(ROW(Tarefas[ID])-ROW(INDEX(Tarefas[ID],1))+1)/(Tarefas[Status]=B$4),ROWS(B$6:B45))),"dd/mm/yyyy")),"")</f>
        <v/>
      </c>
      <c r="C45" s="19" t="str">
        <f>IFERROR(INDEX(Tarefas[ID],_xlfn.AGGREGATE(15,6,(ROW(Tarefas[ID])-ROW(INDEX(Tarefas[ID],1))+1)/(Tarefas[Status]=C$4),ROWS(C$6:C45)))&amp;" | "&amp;INDEX(Tarefas[Tarefa],_xlfn.AGGREGATE(15,6,(ROW(Tarefas[ID])-ROW(INDEX(Tarefas[ID],1))+1)/(Tarefas[Status]=C$4),ROWS(C$6:C45)))&amp;CHAR(10)&amp;INDEX(Tarefas[Prioridade],_xlfn.AGGREGATE(15,6,(ROW(Tarefas[ID])-ROW(INDEX(Tarefas[ID],1))+1)/(Tarefas[Status]=C$4),ROWS(C$6:C45)))&amp;" · "&amp;INDEX(Tarefas[Responsável],_xlfn.AGGREGATE(15,6,(ROW(Tarefas[ID])-ROW(INDEX(Tarefas[ID],1))+1)/(Tarefas[Status]=C$4),ROWS(C$6:C45)))&amp;CHAR(10)&amp;IF(INDEX(Tarefas[Prazo],_xlfn.AGGREGATE(15,6,(ROW(Tarefas[ID])-ROW(INDEX(Tarefas[ID],1))+1)/(Tarefas[Status]=C$4),ROWS(C$6:C45)))=0,"Sem prazo",TEXT(INDEX(Tarefas[Prazo],_xlfn.AGGREGATE(15,6,(ROW(Tarefas[ID])-ROW(INDEX(Tarefas[ID],1))+1)/(Tarefas[Status]=C$4),ROWS(C$6:C45))),"dd/mm/yyyy")),"")</f>
        <v/>
      </c>
      <c r="D45" s="19" t="str">
        <f>IFERROR(INDEX(Tarefas[ID],_xlfn.AGGREGATE(15,6,(ROW(Tarefas[ID])-ROW(INDEX(Tarefas[ID],1))+1)/(Tarefas[Status]=D$4),ROWS(D$6:D45)))&amp;" | "&amp;INDEX(Tarefas[Tarefa],_xlfn.AGGREGATE(15,6,(ROW(Tarefas[ID])-ROW(INDEX(Tarefas[ID],1))+1)/(Tarefas[Status]=D$4),ROWS(D$6:D45)))&amp;CHAR(10)&amp;INDEX(Tarefas[Prioridade],_xlfn.AGGREGATE(15,6,(ROW(Tarefas[ID])-ROW(INDEX(Tarefas[ID],1))+1)/(Tarefas[Status]=D$4),ROWS(D$6:D45)))&amp;" · "&amp;INDEX(Tarefas[Responsável],_xlfn.AGGREGATE(15,6,(ROW(Tarefas[ID])-ROW(INDEX(Tarefas[ID],1))+1)/(Tarefas[Status]=D$4),ROWS(D$6:D45)))&amp;CHAR(10)&amp;IF(INDEX(Tarefas[Prazo],_xlfn.AGGREGATE(15,6,(ROW(Tarefas[ID])-ROW(INDEX(Tarefas[ID],1))+1)/(Tarefas[Status]=D$4),ROWS(D$6:D45)))=0,"Sem prazo",TEXT(INDEX(Tarefas[Prazo],_xlfn.AGGREGATE(15,6,(ROW(Tarefas[ID])-ROW(INDEX(Tarefas[ID],1))+1)/(Tarefas[Status]=D$4),ROWS(D$6:D45))),"dd/mm/yyyy")),"")</f>
        <v/>
      </c>
      <c r="E45" s="19" t="str">
        <f>IFERROR(INDEX(Tarefas[ID],_xlfn.AGGREGATE(15,6,(ROW(Tarefas[ID])-ROW(INDEX(Tarefas[ID],1))+1)/(Tarefas[Status]=E$4),ROWS(E$6:E45)))&amp;" | "&amp;INDEX(Tarefas[Tarefa],_xlfn.AGGREGATE(15,6,(ROW(Tarefas[ID])-ROW(INDEX(Tarefas[ID],1))+1)/(Tarefas[Status]=E$4),ROWS(E$6:E45)))&amp;CHAR(10)&amp;INDEX(Tarefas[Prioridade],_xlfn.AGGREGATE(15,6,(ROW(Tarefas[ID])-ROW(INDEX(Tarefas[ID],1))+1)/(Tarefas[Status]=E$4),ROWS(E$6:E45)))&amp;" · "&amp;INDEX(Tarefas[Responsável],_xlfn.AGGREGATE(15,6,(ROW(Tarefas[ID])-ROW(INDEX(Tarefas[ID],1))+1)/(Tarefas[Status]=E$4),ROWS(E$6:E45)))&amp;CHAR(10)&amp;IF(INDEX(Tarefas[Prazo],_xlfn.AGGREGATE(15,6,(ROW(Tarefas[ID])-ROW(INDEX(Tarefas[ID],1))+1)/(Tarefas[Status]=E$4),ROWS(E$6:E45)))=0,"Sem prazo",TEXT(INDEX(Tarefas[Prazo],_xlfn.AGGREGATE(15,6,(ROW(Tarefas[ID])-ROW(INDEX(Tarefas[ID],1))+1)/(Tarefas[Status]=E$4),ROWS(E$6:E45))),"dd/mm/yyyy")),"")</f>
        <v/>
      </c>
      <c r="F45" s="19" t="str">
        <f>IFERROR(INDEX(Tarefas[ID],_xlfn.AGGREGATE(15,6,(ROW(Tarefas[ID])-ROW(INDEX(Tarefas[ID],1))+1)/(Tarefas[Status]=F$4),ROWS(F$6:F45)))&amp;" | "&amp;INDEX(Tarefas[Tarefa],_xlfn.AGGREGATE(15,6,(ROW(Tarefas[ID])-ROW(INDEX(Tarefas[ID],1))+1)/(Tarefas[Status]=F$4),ROWS(F$6:F45)))&amp;CHAR(10)&amp;INDEX(Tarefas[Prioridade],_xlfn.AGGREGATE(15,6,(ROW(Tarefas[ID])-ROW(INDEX(Tarefas[ID],1))+1)/(Tarefas[Status]=F$4),ROWS(F$6:F45)))&amp;" · "&amp;INDEX(Tarefas[Responsável],_xlfn.AGGREGATE(15,6,(ROW(Tarefas[ID])-ROW(INDEX(Tarefas[ID],1))+1)/(Tarefas[Status]=F$4),ROWS(F$6:F45)))&amp;CHAR(10)&amp;IF(INDEX(Tarefas[Prazo],_xlfn.AGGREGATE(15,6,(ROW(Tarefas[ID])-ROW(INDEX(Tarefas[ID],1))+1)/(Tarefas[Status]=F$4),ROWS(F$6:F45)))=0,"Sem prazo",TEXT(INDEX(Tarefas[Prazo],_xlfn.AGGREGATE(15,6,(ROW(Tarefas[ID])-ROW(INDEX(Tarefas[ID],1))+1)/(Tarefas[Status]=F$4),ROWS(F$6:F45))),"dd/mm/yyyy")),"")</f>
        <v/>
      </c>
    </row>
    <row r="46" spans="1:6" ht="93.95" customHeight="1" x14ac:dyDescent="0.25">
      <c r="A46" s="18" t="str">
        <f>IFERROR(INDEX(Tarefas[ID],_xlfn.AGGREGATE(15,6,(ROW(Tarefas[ID])-ROW(INDEX(Tarefas[ID],1))+1)/(Tarefas[Status]=A$4),ROWS(A$6:A46)))&amp;" | "&amp;INDEX(Tarefas[Tarefa],_xlfn.AGGREGATE(15,6,(ROW(Tarefas[ID])-ROW(INDEX(Tarefas[ID],1))+1)/(Tarefas[Status]=A$4),ROWS(A$6:A46)))&amp;CHAR(10)&amp;INDEX(Tarefas[Prioridade],_xlfn.AGGREGATE(15,6,(ROW(Tarefas[ID])-ROW(INDEX(Tarefas[ID],1))+1)/(Tarefas[Status]=A$4),ROWS(A$6:A46)))&amp;" · "&amp;INDEX(Tarefas[Responsável],_xlfn.AGGREGATE(15,6,(ROW(Tarefas[ID])-ROW(INDEX(Tarefas[ID],1))+1)/(Tarefas[Status]=A$4),ROWS(A$6:A46)))&amp;CHAR(10)&amp;IF(INDEX(Tarefas[Prazo],_xlfn.AGGREGATE(15,6,(ROW(Tarefas[ID])-ROW(INDEX(Tarefas[ID],1))+1)/(Tarefas[Status]=A$4),ROWS(A$6:A46)))=0,"Sem prazo",TEXT(INDEX(Tarefas[Prazo],_xlfn.AGGREGATE(15,6,(ROW(Tarefas[ID])-ROW(INDEX(Tarefas[ID],1))+1)/(Tarefas[Status]=A$4),ROWS(A$6:A46))),"dd/mm/yyyy")),"")</f>
        <v/>
      </c>
      <c r="B46" s="18" t="str">
        <f>IFERROR(INDEX(Tarefas[ID],_xlfn.AGGREGATE(15,6,(ROW(Tarefas[ID])-ROW(INDEX(Tarefas[ID],1))+1)/(Tarefas[Status]=B$4),ROWS(B$6:B46)))&amp;" | "&amp;INDEX(Tarefas[Tarefa],_xlfn.AGGREGATE(15,6,(ROW(Tarefas[ID])-ROW(INDEX(Tarefas[ID],1))+1)/(Tarefas[Status]=B$4),ROWS(B$6:B46)))&amp;CHAR(10)&amp;INDEX(Tarefas[Prioridade],_xlfn.AGGREGATE(15,6,(ROW(Tarefas[ID])-ROW(INDEX(Tarefas[ID],1))+1)/(Tarefas[Status]=B$4),ROWS(B$6:B46)))&amp;" · "&amp;INDEX(Tarefas[Responsável],_xlfn.AGGREGATE(15,6,(ROW(Tarefas[ID])-ROW(INDEX(Tarefas[ID],1))+1)/(Tarefas[Status]=B$4),ROWS(B$6:B46)))&amp;CHAR(10)&amp;IF(INDEX(Tarefas[Prazo],_xlfn.AGGREGATE(15,6,(ROW(Tarefas[ID])-ROW(INDEX(Tarefas[ID],1))+1)/(Tarefas[Status]=B$4),ROWS(B$6:B46)))=0,"Sem prazo",TEXT(INDEX(Tarefas[Prazo],_xlfn.AGGREGATE(15,6,(ROW(Tarefas[ID])-ROW(INDEX(Tarefas[ID],1))+1)/(Tarefas[Status]=B$4),ROWS(B$6:B46))),"dd/mm/yyyy")),"")</f>
        <v/>
      </c>
      <c r="C46" s="18" t="str">
        <f>IFERROR(INDEX(Tarefas[ID],_xlfn.AGGREGATE(15,6,(ROW(Tarefas[ID])-ROW(INDEX(Tarefas[ID],1))+1)/(Tarefas[Status]=C$4),ROWS(C$6:C46)))&amp;" | "&amp;INDEX(Tarefas[Tarefa],_xlfn.AGGREGATE(15,6,(ROW(Tarefas[ID])-ROW(INDEX(Tarefas[ID],1))+1)/(Tarefas[Status]=C$4),ROWS(C$6:C46)))&amp;CHAR(10)&amp;INDEX(Tarefas[Prioridade],_xlfn.AGGREGATE(15,6,(ROW(Tarefas[ID])-ROW(INDEX(Tarefas[ID],1))+1)/(Tarefas[Status]=C$4),ROWS(C$6:C46)))&amp;" · "&amp;INDEX(Tarefas[Responsável],_xlfn.AGGREGATE(15,6,(ROW(Tarefas[ID])-ROW(INDEX(Tarefas[ID],1))+1)/(Tarefas[Status]=C$4),ROWS(C$6:C46)))&amp;CHAR(10)&amp;IF(INDEX(Tarefas[Prazo],_xlfn.AGGREGATE(15,6,(ROW(Tarefas[ID])-ROW(INDEX(Tarefas[ID],1))+1)/(Tarefas[Status]=C$4),ROWS(C$6:C46)))=0,"Sem prazo",TEXT(INDEX(Tarefas[Prazo],_xlfn.AGGREGATE(15,6,(ROW(Tarefas[ID])-ROW(INDEX(Tarefas[ID],1))+1)/(Tarefas[Status]=C$4),ROWS(C$6:C46))),"dd/mm/yyyy")),"")</f>
        <v/>
      </c>
      <c r="D46" s="18" t="str">
        <f>IFERROR(INDEX(Tarefas[ID],_xlfn.AGGREGATE(15,6,(ROW(Tarefas[ID])-ROW(INDEX(Tarefas[ID],1))+1)/(Tarefas[Status]=D$4),ROWS(D$6:D46)))&amp;" | "&amp;INDEX(Tarefas[Tarefa],_xlfn.AGGREGATE(15,6,(ROW(Tarefas[ID])-ROW(INDEX(Tarefas[ID],1))+1)/(Tarefas[Status]=D$4),ROWS(D$6:D46)))&amp;CHAR(10)&amp;INDEX(Tarefas[Prioridade],_xlfn.AGGREGATE(15,6,(ROW(Tarefas[ID])-ROW(INDEX(Tarefas[ID],1))+1)/(Tarefas[Status]=D$4),ROWS(D$6:D46)))&amp;" · "&amp;INDEX(Tarefas[Responsável],_xlfn.AGGREGATE(15,6,(ROW(Tarefas[ID])-ROW(INDEX(Tarefas[ID],1))+1)/(Tarefas[Status]=D$4),ROWS(D$6:D46)))&amp;CHAR(10)&amp;IF(INDEX(Tarefas[Prazo],_xlfn.AGGREGATE(15,6,(ROW(Tarefas[ID])-ROW(INDEX(Tarefas[ID],1))+1)/(Tarefas[Status]=D$4),ROWS(D$6:D46)))=0,"Sem prazo",TEXT(INDEX(Tarefas[Prazo],_xlfn.AGGREGATE(15,6,(ROW(Tarefas[ID])-ROW(INDEX(Tarefas[ID],1))+1)/(Tarefas[Status]=D$4),ROWS(D$6:D46))),"dd/mm/yyyy")),"")</f>
        <v/>
      </c>
      <c r="E46" s="18" t="str">
        <f>IFERROR(INDEX(Tarefas[ID],_xlfn.AGGREGATE(15,6,(ROW(Tarefas[ID])-ROW(INDEX(Tarefas[ID],1))+1)/(Tarefas[Status]=E$4),ROWS(E$6:E46)))&amp;" | "&amp;INDEX(Tarefas[Tarefa],_xlfn.AGGREGATE(15,6,(ROW(Tarefas[ID])-ROW(INDEX(Tarefas[ID],1))+1)/(Tarefas[Status]=E$4),ROWS(E$6:E46)))&amp;CHAR(10)&amp;INDEX(Tarefas[Prioridade],_xlfn.AGGREGATE(15,6,(ROW(Tarefas[ID])-ROW(INDEX(Tarefas[ID],1))+1)/(Tarefas[Status]=E$4),ROWS(E$6:E46)))&amp;" · "&amp;INDEX(Tarefas[Responsável],_xlfn.AGGREGATE(15,6,(ROW(Tarefas[ID])-ROW(INDEX(Tarefas[ID],1))+1)/(Tarefas[Status]=E$4),ROWS(E$6:E46)))&amp;CHAR(10)&amp;IF(INDEX(Tarefas[Prazo],_xlfn.AGGREGATE(15,6,(ROW(Tarefas[ID])-ROW(INDEX(Tarefas[ID],1))+1)/(Tarefas[Status]=E$4),ROWS(E$6:E46)))=0,"Sem prazo",TEXT(INDEX(Tarefas[Prazo],_xlfn.AGGREGATE(15,6,(ROW(Tarefas[ID])-ROW(INDEX(Tarefas[ID],1))+1)/(Tarefas[Status]=E$4),ROWS(E$6:E46))),"dd/mm/yyyy")),"")</f>
        <v/>
      </c>
      <c r="F46" s="18" t="str">
        <f>IFERROR(INDEX(Tarefas[ID],_xlfn.AGGREGATE(15,6,(ROW(Tarefas[ID])-ROW(INDEX(Tarefas[ID],1))+1)/(Tarefas[Status]=F$4),ROWS(F$6:F46)))&amp;" | "&amp;INDEX(Tarefas[Tarefa],_xlfn.AGGREGATE(15,6,(ROW(Tarefas[ID])-ROW(INDEX(Tarefas[ID],1))+1)/(Tarefas[Status]=F$4),ROWS(F$6:F46)))&amp;CHAR(10)&amp;INDEX(Tarefas[Prioridade],_xlfn.AGGREGATE(15,6,(ROW(Tarefas[ID])-ROW(INDEX(Tarefas[ID],1))+1)/(Tarefas[Status]=F$4),ROWS(F$6:F46)))&amp;" · "&amp;INDEX(Tarefas[Responsável],_xlfn.AGGREGATE(15,6,(ROW(Tarefas[ID])-ROW(INDEX(Tarefas[ID],1))+1)/(Tarefas[Status]=F$4),ROWS(F$6:F46)))&amp;CHAR(10)&amp;IF(INDEX(Tarefas[Prazo],_xlfn.AGGREGATE(15,6,(ROW(Tarefas[ID])-ROW(INDEX(Tarefas[ID],1))+1)/(Tarefas[Status]=F$4),ROWS(F$6:F46)))=0,"Sem prazo",TEXT(INDEX(Tarefas[Prazo],_xlfn.AGGREGATE(15,6,(ROW(Tarefas[ID])-ROW(INDEX(Tarefas[ID],1))+1)/(Tarefas[Status]=F$4),ROWS(F$6:F46))),"dd/mm/yyyy")),"")</f>
        <v/>
      </c>
    </row>
    <row r="47" spans="1:6" ht="93.95" customHeight="1" x14ac:dyDescent="0.25">
      <c r="A47" s="19" t="str">
        <f>IFERROR(INDEX(Tarefas[ID],_xlfn.AGGREGATE(15,6,(ROW(Tarefas[ID])-ROW(INDEX(Tarefas[ID],1))+1)/(Tarefas[Status]=A$4),ROWS(A$6:A47)))&amp;" | "&amp;INDEX(Tarefas[Tarefa],_xlfn.AGGREGATE(15,6,(ROW(Tarefas[ID])-ROW(INDEX(Tarefas[ID],1))+1)/(Tarefas[Status]=A$4),ROWS(A$6:A47)))&amp;CHAR(10)&amp;INDEX(Tarefas[Prioridade],_xlfn.AGGREGATE(15,6,(ROW(Tarefas[ID])-ROW(INDEX(Tarefas[ID],1))+1)/(Tarefas[Status]=A$4),ROWS(A$6:A47)))&amp;" · "&amp;INDEX(Tarefas[Responsável],_xlfn.AGGREGATE(15,6,(ROW(Tarefas[ID])-ROW(INDEX(Tarefas[ID],1))+1)/(Tarefas[Status]=A$4),ROWS(A$6:A47)))&amp;CHAR(10)&amp;IF(INDEX(Tarefas[Prazo],_xlfn.AGGREGATE(15,6,(ROW(Tarefas[ID])-ROW(INDEX(Tarefas[ID],1))+1)/(Tarefas[Status]=A$4),ROWS(A$6:A47)))=0,"Sem prazo",TEXT(INDEX(Tarefas[Prazo],_xlfn.AGGREGATE(15,6,(ROW(Tarefas[ID])-ROW(INDEX(Tarefas[ID],1))+1)/(Tarefas[Status]=A$4),ROWS(A$6:A47))),"dd/mm/yyyy")),"")</f>
        <v/>
      </c>
      <c r="B47" s="19" t="str">
        <f>IFERROR(INDEX(Tarefas[ID],_xlfn.AGGREGATE(15,6,(ROW(Tarefas[ID])-ROW(INDEX(Tarefas[ID],1))+1)/(Tarefas[Status]=B$4),ROWS(B$6:B47)))&amp;" | "&amp;INDEX(Tarefas[Tarefa],_xlfn.AGGREGATE(15,6,(ROW(Tarefas[ID])-ROW(INDEX(Tarefas[ID],1))+1)/(Tarefas[Status]=B$4),ROWS(B$6:B47)))&amp;CHAR(10)&amp;INDEX(Tarefas[Prioridade],_xlfn.AGGREGATE(15,6,(ROW(Tarefas[ID])-ROW(INDEX(Tarefas[ID],1))+1)/(Tarefas[Status]=B$4),ROWS(B$6:B47)))&amp;" · "&amp;INDEX(Tarefas[Responsável],_xlfn.AGGREGATE(15,6,(ROW(Tarefas[ID])-ROW(INDEX(Tarefas[ID],1))+1)/(Tarefas[Status]=B$4),ROWS(B$6:B47)))&amp;CHAR(10)&amp;IF(INDEX(Tarefas[Prazo],_xlfn.AGGREGATE(15,6,(ROW(Tarefas[ID])-ROW(INDEX(Tarefas[ID],1))+1)/(Tarefas[Status]=B$4),ROWS(B$6:B47)))=0,"Sem prazo",TEXT(INDEX(Tarefas[Prazo],_xlfn.AGGREGATE(15,6,(ROW(Tarefas[ID])-ROW(INDEX(Tarefas[ID],1))+1)/(Tarefas[Status]=B$4),ROWS(B$6:B47))),"dd/mm/yyyy")),"")</f>
        <v/>
      </c>
      <c r="C47" s="19" t="str">
        <f>IFERROR(INDEX(Tarefas[ID],_xlfn.AGGREGATE(15,6,(ROW(Tarefas[ID])-ROW(INDEX(Tarefas[ID],1))+1)/(Tarefas[Status]=C$4),ROWS(C$6:C47)))&amp;" | "&amp;INDEX(Tarefas[Tarefa],_xlfn.AGGREGATE(15,6,(ROW(Tarefas[ID])-ROW(INDEX(Tarefas[ID],1))+1)/(Tarefas[Status]=C$4),ROWS(C$6:C47)))&amp;CHAR(10)&amp;INDEX(Tarefas[Prioridade],_xlfn.AGGREGATE(15,6,(ROW(Tarefas[ID])-ROW(INDEX(Tarefas[ID],1))+1)/(Tarefas[Status]=C$4),ROWS(C$6:C47)))&amp;" · "&amp;INDEX(Tarefas[Responsável],_xlfn.AGGREGATE(15,6,(ROW(Tarefas[ID])-ROW(INDEX(Tarefas[ID],1))+1)/(Tarefas[Status]=C$4),ROWS(C$6:C47)))&amp;CHAR(10)&amp;IF(INDEX(Tarefas[Prazo],_xlfn.AGGREGATE(15,6,(ROW(Tarefas[ID])-ROW(INDEX(Tarefas[ID],1))+1)/(Tarefas[Status]=C$4),ROWS(C$6:C47)))=0,"Sem prazo",TEXT(INDEX(Tarefas[Prazo],_xlfn.AGGREGATE(15,6,(ROW(Tarefas[ID])-ROW(INDEX(Tarefas[ID],1))+1)/(Tarefas[Status]=C$4),ROWS(C$6:C47))),"dd/mm/yyyy")),"")</f>
        <v/>
      </c>
      <c r="D47" s="19" t="str">
        <f>IFERROR(INDEX(Tarefas[ID],_xlfn.AGGREGATE(15,6,(ROW(Tarefas[ID])-ROW(INDEX(Tarefas[ID],1))+1)/(Tarefas[Status]=D$4),ROWS(D$6:D47)))&amp;" | "&amp;INDEX(Tarefas[Tarefa],_xlfn.AGGREGATE(15,6,(ROW(Tarefas[ID])-ROW(INDEX(Tarefas[ID],1))+1)/(Tarefas[Status]=D$4),ROWS(D$6:D47)))&amp;CHAR(10)&amp;INDEX(Tarefas[Prioridade],_xlfn.AGGREGATE(15,6,(ROW(Tarefas[ID])-ROW(INDEX(Tarefas[ID],1))+1)/(Tarefas[Status]=D$4),ROWS(D$6:D47)))&amp;" · "&amp;INDEX(Tarefas[Responsável],_xlfn.AGGREGATE(15,6,(ROW(Tarefas[ID])-ROW(INDEX(Tarefas[ID],1))+1)/(Tarefas[Status]=D$4),ROWS(D$6:D47)))&amp;CHAR(10)&amp;IF(INDEX(Tarefas[Prazo],_xlfn.AGGREGATE(15,6,(ROW(Tarefas[ID])-ROW(INDEX(Tarefas[ID],1))+1)/(Tarefas[Status]=D$4),ROWS(D$6:D47)))=0,"Sem prazo",TEXT(INDEX(Tarefas[Prazo],_xlfn.AGGREGATE(15,6,(ROW(Tarefas[ID])-ROW(INDEX(Tarefas[ID],1))+1)/(Tarefas[Status]=D$4),ROWS(D$6:D47))),"dd/mm/yyyy")),"")</f>
        <v/>
      </c>
      <c r="E47" s="19" t="str">
        <f>IFERROR(INDEX(Tarefas[ID],_xlfn.AGGREGATE(15,6,(ROW(Tarefas[ID])-ROW(INDEX(Tarefas[ID],1))+1)/(Tarefas[Status]=E$4),ROWS(E$6:E47)))&amp;" | "&amp;INDEX(Tarefas[Tarefa],_xlfn.AGGREGATE(15,6,(ROW(Tarefas[ID])-ROW(INDEX(Tarefas[ID],1))+1)/(Tarefas[Status]=E$4),ROWS(E$6:E47)))&amp;CHAR(10)&amp;INDEX(Tarefas[Prioridade],_xlfn.AGGREGATE(15,6,(ROW(Tarefas[ID])-ROW(INDEX(Tarefas[ID],1))+1)/(Tarefas[Status]=E$4),ROWS(E$6:E47)))&amp;" · "&amp;INDEX(Tarefas[Responsável],_xlfn.AGGREGATE(15,6,(ROW(Tarefas[ID])-ROW(INDEX(Tarefas[ID],1))+1)/(Tarefas[Status]=E$4),ROWS(E$6:E47)))&amp;CHAR(10)&amp;IF(INDEX(Tarefas[Prazo],_xlfn.AGGREGATE(15,6,(ROW(Tarefas[ID])-ROW(INDEX(Tarefas[ID],1))+1)/(Tarefas[Status]=E$4),ROWS(E$6:E47)))=0,"Sem prazo",TEXT(INDEX(Tarefas[Prazo],_xlfn.AGGREGATE(15,6,(ROW(Tarefas[ID])-ROW(INDEX(Tarefas[ID],1))+1)/(Tarefas[Status]=E$4),ROWS(E$6:E47))),"dd/mm/yyyy")),"")</f>
        <v/>
      </c>
      <c r="F47" s="19" t="str">
        <f>IFERROR(INDEX(Tarefas[ID],_xlfn.AGGREGATE(15,6,(ROW(Tarefas[ID])-ROW(INDEX(Tarefas[ID],1))+1)/(Tarefas[Status]=F$4),ROWS(F$6:F47)))&amp;" | "&amp;INDEX(Tarefas[Tarefa],_xlfn.AGGREGATE(15,6,(ROW(Tarefas[ID])-ROW(INDEX(Tarefas[ID],1))+1)/(Tarefas[Status]=F$4),ROWS(F$6:F47)))&amp;CHAR(10)&amp;INDEX(Tarefas[Prioridade],_xlfn.AGGREGATE(15,6,(ROW(Tarefas[ID])-ROW(INDEX(Tarefas[ID],1))+1)/(Tarefas[Status]=F$4),ROWS(F$6:F47)))&amp;" · "&amp;INDEX(Tarefas[Responsável],_xlfn.AGGREGATE(15,6,(ROW(Tarefas[ID])-ROW(INDEX(Tarefas[ID],1))+1)/(Tarefas[Status]=F$4),ROWS(F$6:F47)))&amp;CHAR(10)&amp;IF(INDEX(Tarefas[Prazo],_xlfn.AGGREGATE(15,6,(ROW(Tarefas[ID])-ROW(INDEX(Tarefas[ID],1))+1)/(Tarefas[Status]=F$4),ROWS(F$6:F47)))=0,"Sem prazo",TEXT(INDEX(Tarefas[Prazo],_xlfn.AGGREGATE(15,6,(ROW(Tarefas[ID])-ROW(INDEX(Tarefas[ID],1))+1)/(Tarefas[Status]=F$4),ROWS(F$6:F47))),"dd/mm/yyyy")),"")</f>
        <v/>
      </c>
    </row>
    <row r="48" spans="1:6" ht="93.95" customHeight="1" x14ac:dyDescent="0.25">
      <c r="A48" s="18" t="str">
        <f>IFERROR(INDEX(Tarefas[ID],_xlfn.AGGREGATE(15,6,(ROW(Tarefas[ID])-ROW(INDEX(Tarefas[ID],1))+1)/(Tarefas[Status]=A$4),ROWS(A$6:A48)))&amp;" | "&amp;INDEX(Tarefas[Tarefa],_xlfn.AGGREGATE(15,6,(ROW(Tarefas[ID])-ROW(INDEX(Tarefas[ID],1))+1)/(Tarefas[Status]=A$4),ROWS(A$6:A48)))&amp;CHAR(10)&amp;INDEX(Tarefas[Prioridade],_xlfn.AGGREGATE(15,6,(ROW(Tarefas[ID])-ROW(INDEX(Tarefas[ID],1))+1)/(Tarefas[Status]=A$4),ROWS(A$6:A48)))&amp;" · "&amp;INDEX(Tarefas[Responsável],_xlfn.AGGREGATE(15,6,(ROW(Tarefas[ID])-ROW(INDEX(Tarefas[ID],1))+1)/(Tarefas[Status]=A$4),ROWS(A$6:A48)))&amp;CHAR(10)&amp;IF(INDEX(Tarefas[Prazo],_xlfn.AGGREGATE(15,6,(ROW(Tarefas[ID])-ROW(INDEX(Tarefas[ID],1))+1)/(Tarefas[Status]=A$4),ROWS(A$6:A48)))=0,"Sem prazo",TEXT(INDEX(Tarefas[Prazo],_xlfn.AGGREGATE(15,6,(ROW(Tarefas[ID])-ROW(INDEX(Tarefas[ID],1))+1)/(Tarefas[Status]=A$4),ROWS(A$6:A48))),"dd/mm/yyyy")),"")</f>
        <v/>
      </c>
      <c r="B48" s="18" t="str">
        <f>IFERROR(INDEX(Tarefas[ID],_xlfn.AGGREGATE(15,6,(ROW(Tarefas[ID])-ROW(INDEX(Tarefas[ID],1))+1)/(Tarefas[Status]=B$4),ROWS(B$6:B48)))&amp;" | "&amp;INDEX(Tarefas[Tarefa],_xlfn.AGGREGATE(15,6,(ROW(Tarefas[ID])-ROW(INDEX(Tarefas[ID],1))+1)/(Tarefas[Status]=B$4),ROWS(B$6:B48)))&amp;CHAR(10)&amp;INDEX(Tarefas[Prioridade],_xlfn.AGGREGATE(15,6,(ROW(Tarefas[ID])-ROW(INDEX(Tarefas[ID],1))+1)/(Tarefas[Status]=B$4),ROWS(B$6:B48)))&amp;" · "&amp;INDEX(Tarefas[Responsável],_xlfn.AGGREGATE(15,6,(ROW(Tarefas[ID])-ROW(INDEX(Tarefas[ID],1))+1)/(Tarefas[Status]=B$4),ROWS(B$6:B48)))&amp;CHAR(10)&amp;IF(INDEX(Tarefas[Prazo],_xlfn.AGGREGATE(15,6,(ROW(Tarefas[ID])-ROW(INDEX(Tarefas[ID],1))+1)/(Tarefas[Status]=B$4),ROWS(B$6:B48)))=0,"Sem prazo",TEXT(INDEX(Tarefas[Prazo],_xlfn.AGGREGATE(15,6,(ROW(Tarefas[ID])-ROW(INDEX(Tarefas[ID],1))+1)/(Tarefas[Status]=B$4),ROWS(B$6:B48))),"dd/mm/yyyy")),"")</f>
        <v/>
      </c>
      <c r="C48" s="18" t="str">
        <f>IFERROR(INDEX(Tarefas[ID],_xlfn.AGGREGATE(15,6,(ROW(Tarefas[ID])-ROW(INDEX(Tarefas[ID],1))+1)/(Tarefas[Status]=C$4),ROWS(C$6:C48)))&amp;" | "&amp;INDEX(Tarefas[Tarefa],_xlfn.AGGREGATE(15,6,(ROW(Tarefas[ID])-ROW(INDEX(Tarefas[ID],1))+1)/(Tarefas[Status]=C$4),ROWS(C$6:C48)))&amp;CHAR(10)&amp;INDEX(Tarefas[Prioridade],_xlfn.AGGREGATE(15,6,(ROW(Tarefas[ID])-ROW(INDEX(Tarefas[ID],1))+1)/(Tarefas[Status]=C$4),ROWS(C$6:C48)))&amp;" · "&amp;INDEX(Tarefas[Responsável],_xlfn.AGGREGATE(15,6,(ROW(Tarefas[ID])-ROW(INDEX(Tarefas[ID],1))+1)/(Tarefas[Status]=C$4),ROWS(C$6:C48)))&amp;CHAR(10)&amp;IF(INDEX(Tarefas[Prazo],_xlfn.AGGREGATE(15,6,(ROW(Tarefas[ID])-ROW(INDEX(Tarefas[ID],1))+1)/(Tarefas[Status]=C$4),ROWS(C$6:C48)))=0,"Sem prazo",TEXT(INDEX(Tarefas[Prazo],_xlfn.AGGREGATE(15,6,(ROW(Tarefas[ID])-ROW(INDEX(Tarefas[ID],1))+1)/(Tarefas[Status]=C$4),ROWS(C$6:C48))),"dd/mm/yyyy")),"")</f>
        <v/>
      </c>
      <c r="D48" s="18" t="str">
        <f>IFERROR(INDEX(Tarefas[ID],_xlfn.AGGREGATE(15,6,(ROW(Tarefas[ID])-ROW(INDEX(Tarefas[ID],1))+1)/(Tarefas[Status]=D$4),ROWS(D$6:D48)))&amp;" | "&amp;INDEX(Tarefas[Tarefa],_xlfn.AGGREGATE(15,6,(ROW(Tarefas[ID])-ROW(INDEX(Tarefas[ID],1))+1)/(Tarefas[Status]=D$4),ROWS(D$6:D48)))&amp;CHAR(10)&amp;INDEX(Tarefas[Prioridade],_xlfn.AGGREGATE(15,6,(ROW(Tarefas[ID])-ROW(INDEX(Tarefas[ID],1))+1)/(Tarefas[Status]=D$4),ROWS(D$6:D48)))&amp;" · "&amp;INDEX(Tarefas[Responsável],_xlfn.AGGREGATE(15,6,(ROW(Tarefas[ID])-ROW(INDEX(Tarefas[ID],1))+1)/(Tarefas[Status]=D$4),ROWS(D$6:D48)))&amp;CHAR(10)&amp;IF(INDEX(Tarefas[Prazo],_xlfn.AGGREGATE(15,6,(ROW(Tarefas[ID])-ROW(INDEX(Tarefas[ID],1))+1)/(Tarefas[Status]=D$4),ROWS(D$6:D48)))=0,"Sem prazo",TEXT(INDEX(Tarefas[Prazo],_xlfn.AGGREGATE(15,6,(ROW(Tarefas[ID])-ROW(INDEX(Tarefas[ID],1))+1)/(Tarefas[Status]=D$4),ROWS(D$6:D48))),"dd/mm/yyyy")),"")</f>
        <v/>
      </c>
      <c r="E48" s="18" t="str">
        <f>IFERROR(INDEX(Tarefas[ID],_xlfn.AGGREGATE(15,6,(ROW(Tarefas[ID])-ROW(INDEX(Tarefas[ID],1))+1)/(Tarefas[Status]=E$4),ROWS(E$6:E48)))&amp;" | "&amp;INDEX(Tarefas[Tarefa],_xlfn.AGGREGATE(15,6,(ROW(Tarefas[ID])-ROW(INDEX(Tarefas[ID],1))+1)/(Tarefas[Status]=E$4),ROWS(E$6:E48)))&amp;CHAR(10)&amp;INDEX(Tarefas[Prioridade],_xlfn.AGGREGATE(15,6,(ROW(Tarefas[ID])-ROW(INDEX(Tarefas[ID],1))+1)/(Tarefas[Status]=E$4),ROWS(E$6:E48)))&amp;" · "&amp;INDEX(Tarefas[Responsável],_xlfn.AGGREGATE(15,6,(ROW(Tarefas[ID])-ROW(INDEX(Tarefas[ID],1))+1)/(Tarefas[Status]=E$4),ROWS(E$6:E48)))&amp;CHAR(10)&amp;IF(INDEX(Tarefas[Prazo],_xlfn.AGGREGATE(15,6,(ROW(Tarefas[ID])-ROW(INDEX(Tarefas[ID],1))+1)/(Tarefas[Status]=E$4),ROWS(E$6:E48)))=0,"Sem prazo",TEXT(INDEX(Tarefas[Prazo],_xlfn.AGGREGATE(15,6,(ROW(Tarefas[ID])-ROW(INDEX(Tarefas[ID],1))+1)/(Tarefas[Status]=E$4),ROWS(E$6:E48))),"dd/mm/yyyy")),"")</f>
        <v/>
      </c>
      <c r="F48" s="18" t="str">
        <f>IFERROR(INDEX(Tarefas[ID],_xlfn.AGGREGATE(15,6,(ROW(Tarefas[ID])-ROW(INDEX(Tarefas[ID],1))+1)/(Tarefas[Status]=F$4),ROWS(F$6:F48)))&amp;" | "&amp;INDEX(Tarefas[Tarefa],_xlfn.AGGREGATE(15,6,(ROW(Tarefas[ID])-ROW(INDEX(Tarefas[ID],1))+1)/(Tarefas[Status]=F$4),ROWS(F$6:F48)))&amp;CHAR(10)&amp;INDEX(Tarefas[Prioridade],_xlfn.AGGREGATE(15,6,(ROW(Tarefas[ID])-ROW(INDEX(Tarefas[ID],1))+1)/(Tarefas[Status]=F$4),ROWS(F$6:F48)))&amp;" · "&amp;INDEX(Tarefas[Responsável],_xlfn.AGGREGATE(15,6,(ROW(Tarefas[ID])-ROW(INDEX(Tarefas[ID],1))+1)/(Tarefas[Status]=F$4),ROWS(F$6:F48)))&amp;CHAR(10)&amp;IF(INDEX(Tarefas[Prazo],_xlfn.AGGREGATE(15,6,(ROW(Tarefas[ID])-ROW(INDEX(Tarefas[ID],1))+1)/(Tarefas[Status]=F$4),ROWS(F$6:F48)))=0,"Sem prazo",TEXT(INDEX(Tarefas[Prazo],_xlfn.AGGREGATE(15,6,(ROW(Tarefas[ID])-ROW(INDEX(Tarefas[ID],1))+1)/(Tarefas[Status]=F$4),ROWS(F$6:F48))),"dd/mm/yyyy")),"")</f>
        <v/>
      </c>
    </row>
    <row r="49" spans="1:6" ht="93.95" customHeight="1" x14ac:dyDescent="0.25">
      <c r="A49" s="19" t="str">
        <f>IFERROR(INDEX(Tarefas[ID],_xlfn.AGGREGATE(15,6,(ROW(Tarefas[ID])-ROW(INDEX(Tarefas[ID],1))+1)/(Tarefas[Status]=A$4),ROWS(A$6:A49)))&amp;" | "&amp;INDEX(Tarefas[Tarefa],_xlfn.AGGREGATE(15,6,(ROW(Tarefas[ID])-ROW(INDEX(Tarefas[ID],1))+1)/(Tarefas[Status]=A$4),ROWS(A$6:A49)))&amp;CHAR(10)&amp;INDEX(Tarefas[Prioridade],_xlfn.AGGREGATE(15,6,(ROW(Tarefas[ID])-ROW(INDEX(Tarefas[ID],1))+1)/(Tarefas[Status]=A$4),ROWS(A$6:A49)))&amp;" · "&amp;INDEX(Tarefas[Responsável],_xlfn.AGGREGATE(15,6,(ROW(Tarefas[ID])-ROW(INDEX(Tarefas[ID],1))+1)/(Tarefas[Status]=A$4),ROWS(A$6:A49)))&amp;CHAR(10)&amp;IF(INDEX(Tarefas[Prazo],_xlfn.AGGREGATE(15,6,(ROW(Tarefas[ID])-ROW(INDEX(Tarefas[ID],1))+1)/(Tarefas[Status]=A$4),ROWS(A$6:A49)))=0,"Sem prazo",TEXT(INDEX(Tarefas[Prazo],_xlfn.AGGREGATE(15,6,(ROW(Tarefas[ID])-ROW(INDEX(Tarefas[ID],1))+1)/(Tarefas[Status]=A$4),ROWS(A$6:A49))),"dd/mm/yyyy")),"")</f>
        <v/>
      </c>
      <c r="B49" s="19" t="str">
        <f>IFERROR(INDEX(Tarefas[ID],_xlfn.AGGREGATE(15,6,(ROW(Tarefas[ID])-ROW(INDEX(Tarefas[ID],1))+1)/(Tarefas[Status]=B$4),ROWS(B$6:B49)))&amp;" | "&amp;INDEX(Tarefas[Tarefa],_xlfn.AGGREGATE(15,6,(ROW(Tarefas[ID])-ROW(INDEX(Tarefas[ID],1))+1)/(Tarefas[Status]=B$4),ROWS(B$6:B49)))&amp;CHAR(10)&amp;INDEX(Tarefas[Prioridade],_xlfn.AGGREGATE(15,6,(ROW(Tarefas[ID])-ROW(INDEX(Tarefas[ID],1))+1)/(Tarefas[Status]=B$4),ROWS(B$6:B49)))&amp;" · "&amp;INDEX(Tarefas[Responsável],_xlfn.AGGREGATE(15,6,(ROW(Tarefas[ID])-ROW(INDEX(Tarefas[ID],1))+1)/(Tarefas[Status]=B$4),ROWS(B$6:B49)))&amp;CHAR(10)&amp;IF(INDEX(Tarefas[Prazo],_xlfn.AGGREGATE(15,6,(ROW(Tarefas[ID])-ROW(INDEX(Tarefas[ID],1))+1)/(Tarefas[Status]=B$4),ROWS(B$6:B49)))=0,"Sem prazo",TEXT(INDEX(Tarefas[Prazo],_xlfn.AGGREGATE(15,6,(ROW(Tarefas[ID])-ROW(INDEX(Tarefas[ID],1))+1)/(Tarefas[Status]=B$4),ROWS(B$6:B49))),"dd/mm/yyyy")),"")</f>
        <v/>
      </c>
      <c r="C49" s="19" t="str">
        <f>IFERROR(INDEX(Tarefas[ID],_xlfn.AGGREGATE(15,6,(ROW(Tarefas[ID])-ROW(INDEX(Tarefas[ID],1))+1)/(Tarefas[Status]=C$4),ROWS(C$6:C49)))&amp;" | "&amp;INDEX(Tarefas[Tarefa],_xlfn.AGGREGATE(15,6,(ROW(Tarefas[ID])-ROW(INDEX(Tarefas[ID],1))+1)/(Tarefas[Status]=C$4),ROWS(C$6:C49)))&amp;CHAR(10)&amp;INDEX(Tarefas[Prioridade],_xlfn.AGGREGATE(15,6,(ROW(Tarefas[ID])-ROW(INDEX(Tarefas[ID],1))+1)/(Tarefas[Status]=C$4),ROWS(C$6:C49)))&amp;" · "&amp;INDEX(Tarefas[Responsável],_xlfn.AGGREGATE(15,6,(ROW(Tarefas[ID])-ROW(INDEX(Tarefas[ID],1))+1)/(Tarefas[Status]=C$4),ROWS(C$6:C49)))&amp;CHAR(10)&amp;IF(INDEX(Tarefas[Prazo],_xlfn.AGGREGATE(15,6,(ROW(Tarefas[ID])-ROW(INDEX(Tarefas[ID],1))+1)/(Tarefas[Status]=C$4),ROWS(C$6:C49)))=0,"Sem prazo",TEXT(INDEX(Tarefas[Prazo],_xlfn.AGGREGATE(15,6,(ROW(Tarefas[ID])-ROW(INDEX(Tarefas[ID],1))+1)/(Tarefas[Status]=C$4),ROWS(C$6:C49))),"dd/mm/yyyy")),"")</f>
        <v/>
      </c>
      <c r="D49" s="19" t="str">
        <f>IFERROR(INDEX(Tarefas[ID],_xlfn.AGGREGATE(15,6,(ROW(Tarefas[ID])-ROW(INDEX(Tarefas[ID],1))+1)/(Tarefas[Status]=D$4),ROWS(D$6:D49)))&amp;" | "&amp;INDEX(Tarefas[Tarefa],_xlfn.AGGREGATE(15,6,(ROW(Tarefas[ID])-ROW(INDEX(Tarefas[ID],1))+1)/(Tarefas[Status]=D$4),ROWS(D$6:D49)))&amp;CHAR(10)&amp;INDEX(Tarefas[Prioridade],_xlfn.AGGREGATE(15,6,(ROW(Tarefas[ID])-ROW(INDEX(Tarefas[ID],1))+1)/(Tarefas[Status]=D$4),ROWS(D$6:D49)))&amp;" · "&amp;INDEX(Tarefas[Responsável],_xlfn.AGGREGATE(15,6,(ROW(Tarefas[ID])-ROW(INDEX(Tarefas[ID],1))+1)/(Tarefas[Status]=D$4),ROWS(D$6:D49)))&amp;CHAR(10)&amp;IF(INDEX(Tarefas[Prazo],_xlfn.AGGREGATE(15,6,(ROW(Tarefas[ID])-ROW(INDEX(Tarefas[ID],1))+1)/(Tarefas[Status]=D$4),ROWS(D$6:D49)))=0,"Sem prazo",TEXT(INDEX(Tarefas[Prazo],_xlfn.AGGREGATE(15,6,(ROW(Tarefas[ID])-ROW(INDEX(Tarefas[ID],1))+1)/(Tarefas[Status]=D$4),ROWS(D$6:D49))),"dd/mm/yyyy")),"")</f>
        <v/>
      </c>
      <c r="E49" s="19" t="str">
        <f>IFERROR(INDEX(Tarefas[ID],_xlfn.AGGREGATE(15,6,(ROW(Tarefas[ID])-ROW(INDEX(Tarefas[ID],1))+1)/(Tarefas[Status]=E$4),ROWS(E$6:E49)))&amp;" | "&amp;INDEX(Tarefas[Tarefa],_xlfn.AGGREGATE(15,6,(ROW(Tarefas[ID])-ROW(INDEX(Tarefas[ID],1))+1)/(Tarefas[Status]=E$4),ROWS(E$6:E49)))&amp;CHAR(10)&amp;INDEX(Tarefas[Prioridade],_xlfn.AGGREGATE(15,6,(ROW(Tarefas[ID])-ROW(INDEX(Tarefas[ID],1))+1)/(Tarefas[Status]=E$4),ROWS(E$6:E49)))&amp;" · "&amp;INDEX(Tarefas[Responsável],_xlfn.AGGREGATE(15,6,(ROW(Tarefas[ID])-ROW(INDEX(Tarefas[ID],1))+1)/(Tarefas[Status]=E$4),ROWS(E$6:E49)))&amp;CHAR(10)&amp;IF(INDEX(Tarefas[Prazo],_xlfn.AGGREGATE(15,6,(ROW(Tarefas[ID])-ROW(INDEX(Tarefas[ID],1))+1)/(Tarefas[Status]=E$4),ROWS(E$6:E49)))=0,"Sem prazo",TEXT(INDEX(Tarefas[Prazo],_xlfn.AGGREGATE(15,6,(ROW(Tarefas[ID])-ROW(INDEX(Tarefas[ID],1))+1)/(Tarefas[Status]=E$4),ROWS(E$6:E49))),"dd/mm/yyyy")),"")</f>
        <v/>
      </c>
      <c r="F49" s="19" t="str">
        <f>IFERROR(INDEX(Tarefas[ID],_xlfn.AGGREGATE(15,6,(ROW(Tarefas[ID])-ROW(INDEX(Tarefas[ID],1))+1)/(Tarefas[Status]=F$4),ROWS(F$6:F49)))&amp;" | "&amp;INDEX(Tarefas[Tarefa],_xlfn.AGGREGATE(15,6,(ROW(Tarefas[ID])-ROW(INDEX(Tarefas[ID],1))+1)/(Tarefas[Status]=F$4),ROWS(F$6:F49)))&amp;CHAR(10)&amp;INDEX(Tarefas[Prioridade],_xlfn.AGGREGATE(15,6,(ROW(Tarefas[ID])-ROW(INDEX(Tarefas[ID],1))+1)/(Tarefas[Status]=F$4),ROWS(F$6:F49)))&amp;" · "&amp;INDEX(Tarefas[Responsável],_xlfn.AGGREGATE(15,6,(ROW(Tarefas[ID])-ROW(INDEX(Tarefas[ID],1))+1)/(Tarefas[Status]=F$4),ROWS(F$6:F49)))&amp;CHAR(10)&amp;IF(INDEX(Tarefas[Prazo],_xlfn.AGGREGATE(15,6,(ROW(Tarefas[ID])-ROW(INDEX(Tarefas[ID],1))+1)/(Tarefas[Status]=F$4),ROWS(F$6:F49)))=0,"Sem prazo",TEXT(INDEX(Tarefas[Prazo],_xlfn.AGGREGATE(15,6,(ROW(Tarefas[ID])-ROW(INDEX(Tarefas[ID],1))+1)/(Tarefas[Status]=F$4),ROWS(F$6:F49))),"dd/mm/yyyy")),"")</f>
        <v/>
      </c>
    </row>
    <row r="50" spans="1:6" ht="93.95" customHeight="1" x14ac:dyDescent="0.25">
      <c r="A50" s="18" t="str">
        <f>IFERROR(INDEX(Tarefas[ID],_xlfn.AGGREGATE(15,6,(ROW(Tarefas[ID])-ROW(INDEX(Tarefas[ID],1))+1)/(Tarefas[Status]=A$4),ROWS(A$6:A50)))&amp;" | "&amp;INDEX(Tarefas[Tarefa],_xlfn.AGGREGATE(15,6,(ROW(Tarefas[ID])-ROW(INDEX(Tarefas[ID],1))+1)/(Tarefas[Status]=A$4),ROWS(A$6:A50)))&amp;CHAR(10)&amp;INDEX(Tarefas[Prioridade],_xlfn.AGGREGATE(15,6,(ROW(Tarefas[ID])-ROW(INDEX(Tarefas[ID],1))+1)/(Tarefas[Status]=A$4),ROWS(A$6:A50)))&amp;" · "&amp;INDEX(Tarefas[Responsável],_xlfn.AGGREGATE(15,6,(ROW(Tarefas[ID])-ROW(INDEX(Tarefas[ID],1))+1)/(Tarefas[Status]=A$4),ROWS(A$6:A50)))&amp;CHAR(10)&amp;IF(INDEX(Tarefas[Prazo],_xlfn.AGGREGATE(15,6,(ROW(Tarefas[ID])-ROW(INDEX(Tarefas[ID],1))+1)/(Tarefas[Status]=A$4),ROWS(A$6:A50)))=0,"Sem prazo",TEXT(INDEX(Tarefas[Prazo],_xlfn.AGGREGATE(15,6,(ROW(Tarefas[ID])-ROW(INDEX(Tarefas[ID],1))+1)/(Tarefas[Status]=A$4),ROWS(A$6:A50))),"dd/mm/yyyy")),"")</f>
        <v/>
      </c>
      <c r="B50" s="18" t="str">
        <f>IFERROR(INDEX(Tarefas[ID],_xlfn.AGGREGATE(15,6,(ROW(Tarefas[ID])-ROW(INDEX(Tarefas[ID],1))+1)/(Tarefas[Status]=B$4),ROWS(B$6:B50)))&amp;" | "&amp;INDEX(Tarefas[Tarefa],_xlfn.AGGREGATE(15,6,(ROW(Tarefas[ID])-ROW(INDEX(Tarefas[ID],1))+1)/(Tarefas[Status]=B$4),ROWS(B$6:B50)))&amp;CHAR(10)&amp;INDEX(Tarefas[Prioridade],_xlfn.AGGREGATE(15,6,(ROW(Tarefas[ID])-ROW(INDEX(Tarefas[ID],1))+1)/(Tarefas[Status]=B$4),ROWS(B$6:B50)))&amp;" · "&amp;INDEX(Tarefas[Responsável],_xlfn.AGGREGATE(15,6,(ROW(Tarefas[ID])-ROW(INDEX(Tarefas[ID],1))+1)/(Tarefas[Status]=B$4),ROWS(B$6:B50)))&amp;CHAR(10)&amp;IF(INDEX(Tarefas[Prazo],_xlfn.AGGREGATE(15,6,(ROW(Tarefas[ID])-ROW(INDEX(Tarefas[ID],1))+1)/(Tarefas[Status]=B$4),ROWS(B$6:B50)))=0,"Sem prazo",TEXT(INDEX(Tarefas[Prazo],_xlfn.AGGREGATE(15,6,(ROW(Tarefas[ID])-ROW(INDEX(Tarefas[ID],1))+1)/(Tarefas[Status]=B$4),ROWS(B$6:B50))),"dd/mm/yyyy")),"")</f>
        <v/>
      </c>
      <c r="C50" s="18" t="str">
        <f>IFERROR(INDEX(Tarefas[ID],_xlfn.AGGREGATE(15,6,(ROW(Tarefas[ID])-ROW(INDEX(Tarefas[ID],1))+1)/(Tarefas[Status]=C$4),ROWS(C$6:C50)))&amp;" | "&amp;INDEX(Tarefas[Tarefa],_xlfn.AGGREGATE(15,6,(ROW(Tarefas[ID])-ROW(INDEX(Tarefas[ID],1))+1)/(Tarefas[Status]=C$4),ROWS(C$6:C50)))&amp;CHAR(10)&amp;INDEX(Tarefas[Prioridade],_xlfn.AGGREGATE(15,6,(ROW(Tarefas[ID])-ROW(INDEX(Tarefas[ID],1))+1)/(Tarefas[Status]=C$4),ROWS(C$6:C50)))&amp;" · "&amp;INDEX(Tarefas[Responsável],_xlfn.AGGREGATE(15,6,(ROW(Tarefas[ID])-ROW(INDEX(Tarefas[ID],1))+1)/(Tarefas[Status]=C$4),ROWS(C$6:C50)))&amp;CHAR(10)&amp;IF(INDEX(Tarefas[Prazo],_xlfn.AGGREGATE(15,6,(ROW(Tarefas[ID])-ROW(INDEX(Tarefas[ID],1))+1)/(Tarefas[Status]=C$4),ROWS(C$6:C50)))=0,"Sem prazo",TEXT(INDEX(Tarefas[Prazo],_xlfn.AGGREGATE(15,6,(ROW(Tarefas[ID])-ROW(INDEX(Tarefas[ID],1))+1)/(Tarefas[Status]=C$4),ROWS(C$6:C50))),"dd/mm/yyyy")),"")</f>
        <v/>
      </c>
      <c r="D50" s="18" t="str">
        <f>IFERROR(INDEX(Tarefas[ID],_xlfn.AGGREGATE(15,6,(ROW(Tarefas[ID])-ROW(INDEX(Tarefas[ID],1))+1)/(Tarefas[Status]=D$4),ROWS(D$6:D50)))&amp;" | "&amp;INDEX(Tarefas[Tarefa],_xlfn.AGGREGATE(15,6,(ROW(Tarefas[ID])-ROW(INDEX(Tarefas[ID],1))+1)/(Tarefas[Status]=D$4),ROWS(D$6:D50)))&amp;CHAR(10)&amp;INDEX(Tarefas[Prioridade],_xlfn.AGGREGATE(15,6,(ROW(Tarefas[ID])-ROW(INDEX(Tarefas[ID],1))+1)/(Tarefas[Status]=D$4),ROWS(D$6:D50)))&amp;" · "&amp;INDEX(Tarefas[Responsável],_xlfn.AGGREGATE(15,6,(ROW(Tarefas[ID])-ROW(INDEX(Tarefas[ID],1))+1)/(Tarefas[Status]=D$4),ROWS(D$6:D50)))&amp;CHAR(10)&amp;IF(INDEX(Tarefas[Prazo],_xlfn.AGGREGATE(15,6,(ROW(Tarefas[ID])-ROW(INDEX(Tarefas[ID],1))+1)/(Tarefas[Status]=D$4),ROWS(D$6:D50)))=0,"Sem prazo",TEXT(INDEX(Tarefas[Prazo],_xlfn.AGGREGATE(15,6,(ROW(Tarefas[ID])-ROW(INDEX(Tarefas[ID],1))+1)/(Tarefas[Status]=D$4),ROWS(D$6:D50))),"dd/mm/yyyy")),"")</f>
        <v/>
      </c>
      <c r="E50" s="18" t="str">
        <f>IFERROR(INDEX(Tarefas[ID],_xlfn.AGGREGATE(15,6,(ROW(Tarefas[ID])-ROW(INDEX(Tarefas[ID],1))+1)/(Tarefas[Status]=E$4),ROWS(E$6:E50)))&amp;" | "&amp;INDEX(Tarefas[Tarefa],_xlfn.AGGREGATE(15,6,(ROW(Tarefas[ID])-ROW(INDEX(Tarefas[ID],1))+1)/(Tarefas[Status]=E$4),ROWS(E$6:E50)))&amp;CHAR(10)&amp;INDEX(Tarefas[Prioridade],_xlfn.AGGREGATE(15,6,(ROW(Tarefas[ID])-ROW(INDEX(Tarefas[ID],1))+1)/(Tarefas[Status]=E$4),ROWS(E$6:E50)))&amp;" · "&amp;INDEX(Tarefas[Responsável],_xlfn.AGGREGATE(15,6,(ROW(Tarefas[ID])-ROW(INDEX(Tarefas[ID],1))+1)/(Tarefas[Status]=E$4),ROWS(E$6:E50)))&amp;CHAR(10)&amp;IF(INDEX(Tarefas[Prazo],_xlfn.AGGREGATE(15,6,(ROW(Tarefas[ID])-ROW(INDEX(Tarefas[ID],1))+1)/(Tarefas[Status]=E$4),ROWS(E$6:E50)))=0,"Sem prazo",TEXT(INDEX(Tarefas[Prazo],_xlfn.AGGREGATE(15,6,(ROW(Tarefas[ID])-ROW(INDEX(Tarefas[ID],1))+1)/(Tarefas[Status]=E$4),ROWS(E$6:E50))),"dd/mm/yyyy")),"")</f>
        <v/>
      </c>
      <c r="F50" s="18" t="str">
        <f>IFERROR(INDEX(Tarefas[ID],_xlfn.AGGREGATE(15,6,(ROW(Tarefas[ID])-ROW(INDEX(Tarefas[ID],1))+1)/(Tarefas[Status]=F$4),ROWS(F$6:F50)))&amp;" | "&amp;INDEX(Tarefas[Tarefa],_xlfn.AGGREGATE(15,6,(ROW(Tarefas[ID])-ROW(INDEX(Tarefas[ID],1))+1)/(Tarefas[Status]=F$4),ROWS(F$6:F50)))&amp;CHAR(10)&amp;INDEX(Tarefas[Prioridade],_xlfn.AGGREGATE(15,6,(ROW(Tarefas[ID])-ROW(INDEX(Tarefas[ID],1))+1)/(Tarefas[Status]=F$4),ROWS(F$6:F50)))&amp;" · "&amp;INDEX(Tarefas[Responsável],_xlfn.AGGREGATE(15,6,(ROW(Tarefas[ID])-ROW(INDEX(Tarefas[ID],1))+1)/(Tarefas[Status]=F$4),ROWS(F$6:F50)))&amp;CHAR(10)&amp;IF(INDEX(Tarefas[Prazo],_xlfn.AGGREGATE(15,6,(ROW(Tarefas[ID])-ROW(INDEX(Tarefas[ID],1))+1)/(Tarefas[Status]=F$4),ROWS(F$6:F50)))=0,"Sem prazo",TEXT(INDEX(Tarefas[Prazo],_xlfn.AGGREGATE(15,6,(ROW(Tarefas[ID])-ROW(INDEX(Tarefas[ID],1))+1)/(Tarefas[Status]=F$4),ROWS(F$6:F50))),"dd/mm/yyyy")),"")</f>
        <v/>
      </c>
    </row>
    <row r="51" spans="1:6" ht="93.95" customHeight="1" x14ac:dyDescent="0.25">
      <c r="A51" s="19" t="str">
        <f>IFERROR(INDEX(Tarefas[ID],_xlfn.AGGREGATE(15,6,(ROW(Tarefas[ID])-ROW(INDEX(Tarefas[ID],1))+1)/(Tarefas[Status]=A$4),ROWS(A$6:A51)))&amp;" | "&amp;INDEX(Tarefas[Tarefa],_xlfn.AGGREGATE(15,6,(ROW(Tarefas[ID])-ROW(INDEX(Tarefas[ID],1))+1)/(Tarefas[Status]=A$4),ROWS(A$6:A51)))&amp;CHAR(10)&amp;INDEX(Tarefas[Prioridade],_xlfn.AGGREGATE(15,6,(ROW(Tarefas[ID])-ROW(INDEX(Tarefas[ID],1))+1)/(Tarefas[Status]=A$4),ROWS(A$6:A51)))&amp;" · "&amp;INDEX(Tarefas[Responsável],_xlfn.AGGREGATE(15,6,(ROW(Tarefas[ID])-ROW(INDEX(Tarefas[ID],1))+1)/(Tarefas[Status]=A$4),ROWS(A$6:A51)))&amp;CHAR(10)&amp;IF(INDEX(Tarefas[Prazo],_xlfn.AGGREGATE(15,6,(ROW(Tarefas[ID])-ROW(INDEX(Tarefas[ID],1))+1)/(Tarefas[Status]=A$4),ROWS(A$6:A51)))=0,"Sem prazo",TEXT(INDEX(Tarefas[Prazo],_xlfn.AGGREGATE(15,6,(ROW(Tarefas[ID])-ROW(INDEX(Tarefas[ID],1))+1)/(Tarefas[Status]=A$4),ROWS(A$6:A51))),"dd/mm/yyyy")),"")</f>
        <v/>
      </c>
      <c r="B51" s="19" t="str">
        <f>IFERROR(INDEX(Tarefas[ID],_xlfn.AGGREGATE(15,6,(ROW(Tarefas[ID])-ROW(INDEX(Tarefas[ID],1))+1)/(Tarefas[Status]=B$4),ROWS(B$6:B51)))&amp;" | "&amp;INDEX(Tarefas[Tarefa],_xlfn.AGGREGATE(15,6,(ROW(Tarefas[ID])-ROW(INDEX(Tarefas[ID],1))+1)/(Tarefas[Status]=B$4),ROWS(B$6:B51)))&amp;CHAR(10)&amp;INDEX(Tarefas[Prioridade],_xlfn.AGGREGATE(15,6,(ROW(Tarefas[ID])-ROW(INDEX(Tarefas[ID],1))+1)/(Tarefas[Status]=B$4),ROWS(B$6:B51)))&amp;" · "&amp;INDEX(Tarefas[Responsável],_xlfn.AGGREGATE(15,6,(ROW(Tarefas[ID])-ROW(INDEX(Tarefas[ID],1))+1)/(Tarefas[Status]=B$4),ROWS(B$6:B51)))&amp;CHAR(10)&amp;IF(INDEX(Tarefas[Prazo],_xlfn.AGGREGATE(15,6,(ROW(Tarefas[ID])-ROW(INDEX(Tarefas[ID],1))+1)/(Tarefas[Status]=B$4),ROWS(B$6:B51)))=0,"Sem prazo",TEXT(INDEX(Tarefas[Prazo],_xlfn.AGGREGATE(15,6,(ROW(Tarefas[ID])-ROW(INDEX(Tarefas[ID],1))+1)/(Tarefas[Status]=B$4),ROWS(B$6:B51))),"dd/mm/yyyy")),"")</f>
        <v/>
      </c>
      <c r="C51" s="19" t="str">
        <f>IFERROR(INDEX(Tarefas[ID],_xlfn.AGGREGATE(15,6,(ROW(Tarefas[ID])-ROW(INDEX(Tarefas[ID],1))+1)/(Tarefas[Status]=C$4),ROWS(C$6:C51)))&amp;" | "&amp;INDEX(Tarefas[Tarefa],_xlfn.AGGREGATE(15,6,(ROW(Tarefas[ID])-ROW(INDEX(Tarefas[ID],1))+1)/(Tarefas[Status]=C$4),ROWS(C$6:C51)))&amp;CHAR(10)&amp;INDEX(Tarefas[Prioridade],_xlfn.AGGREGATE(15,6,(ROW(Tarefas[ID])-ROW(INDEX(Tarefas[ID],1))+1)/(Tarefas[Status]=C$4),ROWS(C$6:C51)))&amp;" · "&amp;INDEX(Tarefas[Responsável],_xlfn.AGGREGATE(15,6,(ROW(Tarefas[ID])-ROW(INDEX(Tarefas[ID],1))+1)/(Tarefas[Status]=C$4),ROWS(C$6:C51)))&amp;CHAR(10)&amp;IF(INDEX(Tarefas[Prazo],_xlfn.AGGREGATE(15,6,(ROW(Tarefas[ID])-ROW(INDEX(Tarefas[ID],1))+1)/(Tarefas[Status]=C$4),ROWS(C$6:C51)))=0,"Sem prazo",TEXT(INDEX(Tarefas[Prazo],_xlfn.AGGREGATE(15,6,(ROW(Tarefas[ID])-ROW(INDEX(Tarefas[ID],1))+1)/(Tarefas[Status]=C$4),ROWS(C$6:C51))),"dd/mm/yyyy")),"")</f>
        <v/>
      </c>
      <c r="D51" s="19" t="str">
        <f>IFERROR(INDEX(Tarefas[ID],_xlfn.AGGREGATE(15,6,(ROW(Tarefas[ID])-ROW(INDEX(Tarefas[ID],1))+1)/(Tarefas[Status]=D$4),ROWS(D$6:D51)))&amp;" | "&amp;INDEX(Tarefas[Tarefa],_xlfn.AGGREGATE(15,6,(ROW(Tarefas[ID])-ROW(INDEX(Tarefas[ID],1))+1)/(Tarefas[Status]=D$4),ROWS(D$6:D51)))&amp;CHAR(10)&amp;INDEX(Tarefas[Prioridade],_xlfn.AGGREGATE(15,6,(ROW(Tarefas[ID])-ROW(INDEX(Tarefas[ID],1))+1)/(Tarefas[Status]=D$4),ROWS(D$6:D51)))&amp;" · "&amp;INDEX(Tarefas[Responsável],_xlfn.AGGREGATE(15,6,(ROW(Tarefas[ID])-ROW(INDEX(Tarefas[ID],1))+1)/(Tarefas[Status]=D$4),ROWS(D$6:D51)))&amp;CHAR(10)&amp;IF(INDEX(Tarefas[Prazo],_xlfn.AGGREGATE(15,6,(ROW(Tarefas[ID])-ROW(INDEX(Tarefas[ID],1))+1)/(Tarefas[Status]=D$4),ROWS(D$6:D51)))=0,"Sem prazo",TEXT(INDEX(Tarefas[Prazo],_xlfn.AGGREGATE(15,6,(ROW(Tarefas[ID])-ROW(INDEX(Tarefas[ID],1))+1)/(Tarefas[Status]=D$4),ROWS(D$6:D51))),"dd/mm/yyyy")),"")</f>
        <v/>
      </c>
      <c r="E51" s="19" t="str">
        <f>IFERROR(INDEX(Tarefas[ID],_xlfn.AGGREGATE(15,6,(ROW(Tarefas[ID])-ROW(INDEX(Tarefas[ID],1))+1)/(Tarefas[Status]=E$4),ROWS(E$6:E51)))&amp;" | "&amp;INDEX(Tarefas[Tarefa],_xlfn.AGGREGATE(15,6,(ROW(Tarefas[ID])-ROW(INDEX(Tarefas[ID],1))+1)/(Tarefas[Status]=E$4),ROWS(E$6:E51)))&amp;CHAR(10)&amp;INDEX(Tarefas[Prioridade],_xlfn.AGGREGATE(15,6,(ROW(Tarefas[ID])-ROW(INDEX(Tarefas[ID],1))+1)/(Tarefas[Status]=E$4),ROWS(E$6:E51)))&amp;" · "&amp;INDEX(Tarefas[Responsável],_xlfn.AGGREGATE(15,6,(ROW(Tarefas[ID])-ROW(INDEX(Tarefas[ID],1))+1)/(Tarefas[Status]=E$4),ROWS(E$6:E51)))&amp;CHAR(10)&amp;IF(INDEX(Tarefas[Prazo],_xlfn.AGGREGATE(15,6,(ROW(Tarefas[ID])-ROW(INDEX(Tarefas[ID],1))+1)/(Tarefas[Status]=E$4),ROWS(E$6:E51)))=0,"Sem prazo",TEXT(INDEX(Tarefas[Prazo],_xlfn.AGGREGATE(15,6,(ROW(Tarefas[ID])-ROW(INDEX(Tarefas[ID],1))+1)/(Tarefas[Status]=E$4),ROWS(E$6:E51))),"dd/mm/yyyy")),"")</f>
        <v/>
      </c>
      <c r="F51" s="19" t="str">
        <f>IFERROR(INDEX(Tarefas[ID],_xlfn.AGGREGATE(15,6,(ROW(Tarefas[ID])-ROW(INDEX(Tarefas[ID],1))+1)/(Tarefas[Status]=F$4),ROWS(F$6:F51)))&amp;" | "&amp;INDEX(Tarefas[Tarefa],_xlfn.AGGREGATE(15,6,(ROW(Tarefas[ID])-ROW(INDEX(Tarefas[ID],1))+1)/(Tarefas[Status]=F$4),ROWS(F$6:F51)))&amp;CHAR(10)&amp;INDEX(Tarefas[Prioridade],_xlfn.AGGREGATE(15,6,(ROW(Tarefas[ID])-ROW(INDEX(Tarefas[ID],1))+1)/(Tarefas[Status]=F$4),ROWS(F$6:F51)))&amp;" · "&amp;INDEX(Tarefas[Responsável],_xlfn.AGGREGATE(15,6,(ROW(Tarefas[ID])-ROW(INDEX(Tarefas[ID],1))+1)/(Tarefas[Status]=F$4),ROWS(F$6:F51)))&amp;CHAR(10)&amp;IF(INDEX(Tarefas[Prazo],_xlfn.AGGREGATE(15,6,(ROW(Tarefas[ID])-ROW(INDEX(Tarefas[ID],1))+1)/(Tarefas[Status]=F$4),ROWS(F$6:F51)))=0,"Sem prazo",TEXT(INDEX(Tarefas[Prazo],_xlfn.AGGREGATE(15,6,(ROW(Tarefas[ID])-ROW(INDEX(Tarefas[ID],1))+1)/(Tarefas[Status]=F$4),ROWS(F$6:F51))),"dd/mm/yyyy")),"")</f>
        <v/>
      </c>
    </row>
    <row r="52" spans="1:6" ht="93.95" customHeight="1" x14ac:dyDescent="0.25">
      <c r="A52" s="18" t="str">
        <f>IFERROR(INDEX(Tarefas[ID],_xlfn.AGGREGATE(15,6,(ROW(Tarefas[ID])-ROW(INDEX(Tarefas[ID],1))+1)/(Tarefas[Status]=A$4),ROWS(A$6:A52)))&amp;" | "&amp;INDEX(Tarefas[Tarefa],_xlfn.AGGREGATE(15,6,(ROW(Tarefas[ID])-ROW(INDEX(Tarefas[ID],1))+1)/(Tarefas[Status]=A$4),ROWS(A$6:A52)))&amp;CHAR(10)&amp;INDEX(Tarefas[Prioridade],_xlfn.AGGREGATE(15,6,(ROW(Tarefas[ID])-ROW(INDEX(Tarefas[ID],1))+1)/(Tarefas[Status]=A$4),ROWS(A$6:A52)))&amp;" · "&amp;INDEX(Tarefas[Responsável],_xlfn.AGGREGATE(15,6,(ROW(Tarefas[ID])-ROW(INDEX(Tarefas[ID],1))+1)/(Tarefas[Status]=A$4),ROWS(A$6:A52)))&amp;CHAR(10)&amp;IF(INDEX(Tarefas[Prazo],_xlfn.AGGREGATE(15,6,(ROW(Tarefas[ID])-ROW(INDEX(Tarefas[ID],1))+1)/(Tarefas[Status]=A$4),ROWS(A$6:A52)))=0,"Sem prazo",TEXT(INDEX(Tarefas[Prazo],_xlfn.AGGREGATE(15,6,(ROW(Tarefas[ID])-ROW(INDEX(Tarefas[ID],1))+1)/(Tarefas[Status]=A$4),ROWS(A$6:A52))),"dd/mm/yyyy")),"")</f>
        <v/>
      </c>
      <c r="B52" s="18" t="str">
        <f>IFERROR(INDEX(Tarefas[ID],_xlfn.AGGREGATE(15,6,(ROW(Tarefas[ID])-ROW(INDEX(Tarefas[ID],1))+1)/(Tarefas[Status]=B$4),ROWS(B$6:B52)))&amp;" | "&amp;INDEX(Tarefas[Tarefa],_xlfn.AGGREGATE(15,6,(ROW(Tarefas[ID])-ROW(INDEX(Tarefas[ID],1))+1)/(Tarefas[Status]=B$4),ROWS(B$6:B52)))&amp;CHAR(10)&amp;INDEX(Tarefas[Prioridade],_xlfn.AGGREGATE(15,6,(ROW(Tarefas[ID])-ROW(INDEX(Tarefas[ID],1))+1)/(Tarefas[Status]=B$4),ROWS(B$6:B52)))&amp;" · "&amp;INDEX(Tarefas[Responsável],_xlfn.AGGREGATE(15,6,(ROW(Tarefas[ID])-ROW(INDEX(Tarefas[ID],1))+1)/(Tarefas[Status]=B$4),ROWS(B$6:B52)))&amp;CHAR(10)&amp;IF(INDEX(Tarefas[Prazo],_xlfn.AGGREGATE(15,6,(ROW(Tarefas[ID])-ROW(INDEX(Tarefas[ID],1))+1)/(Tarefas[Status]=B$4),ROWS(B$6:B52)))=0,"Sem prazo",TEXT(INDEX(Tarefas[Prazo],_xlfn.AGGREGATE(15,6,(ROW(Tarefas[ID])-ROW(INDEX(Tarefas[ID],1))+1)/(Tarefas[Status]=B$4),ROWS(B$6:B52))),"dd/mm/yyyy")),"")</f>
        <v/>
      </c>
      <c r="C52" s="18" t="str">
        <f>IFERROR(INDEX(Tarefas[ID],_xlfn.AGGREGATE(15,6,(ROW(Tarefas[ID])-ROW(INDEX(Tarefas[ID],1))+1)/(Tarefas[Status]=C$4),ROWS(C$6:C52)))&amp;" | "&amp;INDEX(Tarefas[Tarefa],_xlfn.AGGREGATE(15,6,(ROW(Tarefas[ID])-ROW(INDEX(Tarefas[ID],1))+1)/(Tarefas[Status]=C$4),ROWS(C$6:C52)))&amp;CHAR(10)&amp;INDEX(Tarefas[Prioridade],_xlfn.AGGREGATE(15,6,(ROW(Tarefas[ID])-ROW(INDEX(Tarefas[ID],1))+1)/(Tarefas[Status]=C$4),ROWS(C$6:C52)))&amp;" · "&amp;INDEX(Tarefas[Responsável],_xlfn.AGGREGATE(15,6,(ROW(Tarefas[ID])-ROW(INDEX(Tarefas[ID],1))+1)/(Tarefas[Status]=C$4),ROWS(C$6:C52)))&amp;CHAR(10)&amp;IF(INDEX(Tarefas[Prazo],_xlfn.AGGREGATE(15,6,(ROW(Tarefas[ID])-ROW(INDEX(Tarefas[ID],1))+1)/(Tarefas[Status]=C$4),ROWS(C$6:C52)))=0,"Sem prazo",TEXT(INDEX(Tarefas[Prazo],_xlfn.AGGREGATE(15,6,(ROW(Tarefas[ID])-ROW(INDEX(Tarefas[ID],1))+1)/(Tarefas[Status]=C$4),ROWS(C$6:C52))),"dd/mm/yyyy")),"")</f>
        <v/>
      </c>
      <c r="D52" s="18" t="str">
        <f>IFERROR(INDEX(Tarefas[ID],_xlfn.AGGREGATE(15,6,(ROW(Tarefas[ID])-ROW(INDEX(Tarefas[ID],1))+1)/(Tarefas[Status]=D$4),ROWS(D$6:D52)))&amp;" | "&amp;INDEX(Tarefas[Tarefa],_xlfn.AGGREGATE(15,6,(ROW(Tarefas[ID])-ROW(INDEX(Tarefas[ID],1))+1)/(Tarefas[Status]=D$4),ROWS(D$6:D52)))&amp;CHAR(10)&amp;INDEX(Tarefas[Prioridade],_xlfn.AGGREGATE(15,6,(ROW(Tarefas[ID])-ROW(INDEX(Tarefas[ID],1))+1)/(Tarefas[Status]=D$4),ROWS(D$6:D52)))&amp;" · "&amp;INDEX(Tarefas[Responsável],_xlfn.AGGREGATE(15,6,(ROW(Tarefas[ID])-ROW(INDEX(Tarefas[ID],1))+1)/(Tarefas[Status]=D$4),ROWS(D$6:D52)))&amp;CHAR(10)&amp;IF(INDEX(Tarefas[Prazo],_xlfn.AGGREGATE(15,6,(ROW(Tarefas[ID])-ROW(INDEX(Tarefas[ID],1))+1)/(Tarefas[Status]=D$4),ROWS(D$6:D52)))=0,"Sem prazo",TEXT(INDEX(Tarefas[Prazo],_xlfn.AGGREGATE(15,6,(ROW(Tarefas[ID])-ROW(INDEX(Tarefas[ID],1))+1)/(Tarefas[Status]=D$4),ROWS(D$6:D52))),"dd/mm/yyyy")),"")</f>
        <v/>
      </c>
      <c r="E52" s="18" t="str">
        <f>IFERROR(INDEX(Tarefas[ID],_xlfn.AGGREGATE(15,6,(ROW(Tarefas[ID])-ROW(INDEX(Tarefas[ID],1))+1)/(Tarefas[Status]=E$4),ROWS(E$6:E52)))&amp;" | "&amp;INDEX(Tarefas[Tarefa],_xlfn.AGGREGATE(15,6,(ROW(Tarefas[ID])-ROW(INDEX(Tarefas[ID],1))+1)/(Tarefas[Status]=E$4),ROWS(E$6:E52)))&amp;CHAR(10)&amp;INDEX(Tarefas[Prioridade],_xlfn.AGGREGATE(15,6,(ROW(Tarefas[ID])-ROW(INDEX(Tarefas[ID],1))+1)/(Tarefas[Status]=E$4),ROWS(E$6:E52)))&amp;" · "&amp;INDEX(Tarefas[Responsável],_xlfn.AGGREGATE(15,6,(ROW(Tarefas[ID])-ROW(INDEX(Tarefas[ID],1))+1)/(Tarefas[Status]=E$4),ROWS(E$6:E52)))&amp;CHAR(10)&amp;IF(INDEX(Tarefas[Prazo],_xlfn.AGGREGATE(15,6,(ROW(Tarefas[ID])-ROW(INDEX(Tarefas[ID],1))+1)/(Tarefas[Status]=E$4),ROWS(E$6:E52)))=0,"Sem prazo",TEXT(INDEX(Tarefas[Prazo],_xlfn.AGGREGATE(15,6,(ROW(Tarefas[ID])-ROW(INDEX(Tarefas[ID],1))+1)/(Tarefas[Status]=E$4),ROWS(E$6:E52))),"dd/mm/yyyy")),"")</f>
        <v/>
      </c>
      <c r="F52" s="18" t="str">
        <f>IFERROR(INDEX(Tarefas[ID],_xlfn.AGGREGATE(15,6,(ROW(Tarefas[ID])-ROW(INDEX(Tarefas[ID],1))+1)/(Tarefas[Status]=F$4),ROWS(F$6:F52)))&amp;" | "&amp;INDEX(Tarefas[Tarefa],_xlfn.AGGREGATE(15,6,(ROW(Tarefas[ID])-ROW(INDEX(Tarefas[ID],1))+1)/(Tarefas[Status]=F$4),ROWS(F$6:F52)))&amp;CHAR(10)&amp;INDEX(Tarefas[Prioridade],_xlfn.AGGREGATE(15,6,(ROW(Tarefas[ID])-ROW(INDEX(Tarefas[ID],1))+1)/(Tarefas[Status]=F$4),ROWS(F$6:F52)))&amp;" · "&amp;INDEX(Tarefas[Responsável],_xlfn.AGGREGATE(15,6,(ROW(Tarefas[ID])-ROW(INDEX(Tarefas[ID],1))+1)/(Tarefas[Status]=F$4),ROWS(F$6:F52)))&amp;CHAR(10)&amp;IF(INDEX(Tarefas[Prazo],_xlfn.AGGREGATE(15,6,(ROW(Tarefas[ID])-ROW(INDEX(Tarefas[ID],1))+1)/(Tarefas[Status]=F$4),ROWS(F$6:F52)))=0,"Sem prazo",TEXT(INDEX(Tarefas[Prazo],_xlfn.AGGREGATE(15,6,(ROW(Tarefas[ID])-ROW(INDEX(Tarefas[ID],1))+1)/(Tarefas[Status]=F$4),ROWS(F$6:F52))),"dd/mm/yyyy")),"")</f>
        <v/>
      </c>
    </row>
    <row r="53" spans="1:6" ht="93.95" customHeight="1" x14ac:dyDescent="0.25">
      <c r="A53" s="19" t="str">
        <f>IFERROR(INDEX(Tarefas[ID],_xlfn.AGGREGATE(15,6,(ROW(Tarefas[ID])-ROW(INDEX(Tarefas[ID],1))+1)/(Tarefas[Status]=A$4),ROWS(A$6:A53)))&amp;" | "&amp;INDEX(Tarefas[Tarefa],_xlfn.AGGREGATE(15,6,(ROW(Tarefas[ID])-ROW(INDEX(Tarefas[ID],1))+1)/(Tarefas[Status]=A$4),ROWS(A$6:A53)))&amp;CHAR(10)&amp;INDEX(Tarefas[Prioridade],_xlfn.AGGREGATE(15,6,(ROW(Tarefas[ID])-ROW(INDEX(Tarefas[ID],1))+1)/(Tarefas[Status]=A$4),ROWS(A$6:A53)))&amp;" · "&amp;INDEX(Tarefas[Responsável],_xlfn.AGGREGATE(15,6,(ROW(Tarefas[ID])-ROW(INDEX(Tarefas[ID],1))+1)/(Tarefas[Status]=A$4),ROWS(A$6:A53)))&amp;CHAR(10)&amp;IF(INDEX(Tarefas[Prazo],_xlfn.AGGREGATE(15,6,(ROW(Tarefas[ID])-ROW(INDEX(Tarefas[ID],1))+1)/(Tarefas[Status]=A$4),ROWS(A$6:A53)))=0,"Sem prazo",TEXT(INDEX(Tarefas[Prazo],_xlfn.AGGREGATE(15,6,(ROW(Tarefas[ID])-ROW(INDEX(Tarefas[ID],1))+1)/(Tarefas[Status]=A$4),ROWS(A$6:A53))),"dd/mm/yyyy")),"")</f>
        <v/>
      </c>
      <c r="B53" s="19" t="str">
        <f>IFERROR(INDEX(Tarefas[ID],_xlfn.AGGREGATE(15,6,(ROW(Tarefas[ID])-ROW(INDEX(Tarefas[ID],1))+1)/(Tarefas[Status]=B$4),ROWS(B$6:B53)))&amp;" | "&amp;INDEX(Tarefas[Tarefa],_xlfn.AGGREGATE(15,6,(ROW(Tarefas[ID])-ROW(INDEX(Tarefas[ID],1))+1)/(Tarefas[Status]=B$4),ROWS(B$6:B53)))&amp;CHAR(10)&amp;INDEX(Tarefas[Prioridade],_xlfn.AGGREGATE(15,6,(ROW(Tarefas[ID])-ROW(INDEX(Tarefas[ID],1))+1)/(Tarefas[Status]=B$4),ROWS(B$6:B53)))&amp;" · "&amp;INDEX(Tarefas[Responsável],_xlfn.AGGREGATE(15,6,(ROW(Tarefas[ID])-ROW(INDEX(Tarefas[ID],1))+1)/(Tarefas[Status]=B$4),ROWS(B$6:B53)))&amp;CHAR(10)&amp;IF(INDEX(Tarefas[Prazo],_xlfn.AGGREGATE(15,6,(ROW(Tarefas[ID])-ROW(INDEX(Tarefas[ID],1))+1)/(Tarefas[Status]=B$4),ROWS(B$6:B53)))=0,"Sem prazo",TEXT(INDEX(Tarefas[Prazo],_xlfn.AGGREGATE(15,6,(ROW(Tarefas[ID])-ROW(INDEX(Tarefas[ID],1))+1)/(Tarefas[Status]=B$4),ROWS(B$6:B53))),"dd/mm/yyyy")),"")</f>
        <v/>
      </c>
      <c r="C53" s="19" t="str">
        <f>IFERROR(INDEX(Tarefas[ID],_xlfn.AGGREGATE(15,6,(ROW(Tarefas[ID])-ROW(INDEX(Tarefas[ID],1))+1)/(Tarefas[Status]=C$4),ROWS(C$6:C53)))&amp;" | "&amp;INDEX(Tarefas[Tarefa],_xlfn.AGGREGATE(15,6,(ROW(Tarefas[ID])-ROW(INDEX(Tarefas[ID],1))+1)/(Tarefas[Status]=C$4),ROWS(C$6:C53)))&amp;CHAR(10)&amp;INDEX(Tarefas[Prioridade],_xlfn.AGGREGATE(15,6,(ROW(Tarefas[ID])-ROW(INDEX(Tarefas[ID],1))+1)/(Tarefas[Status]=C$4),ROWS(C$6:C53)))&amp;" · "&amp;INDEX(Tarefas[Responsável],_xlfn.AGGREGATE(15,6,(ROW(Tarefas[ID])-ROW(INDEX(Tarefas[ID],1))+1)/(Tarefas[Status]=C$4),ROWS(C$6:C53)))&amp;CHAR(10)&amp;IF(INDEX(Tarefas[Prazo],_xlfn.AGGREGATE(15,6,(ROW(Tarefas[ID])-ROW(INDEX(Tarefas[ID],1))+1)/(Tarefas[Status]=C$4),ROWS(C$6:C53)))=0,"Sem prazo",TEXT(INDEX(Tarefas[Prazo],_xlfn.AGGREGATE(15,6,(ROW(Tarefas[ID])-ROW(INDEX(Tarefas[ID],1))+1)/(Tarefas[Status]=C$4),ROWS(C$6:C53))),"dd/mm/yyyy")),"")</f>
        <v/>
      </c>
      <c r="D53" s="19" t="str">
        <f>IFERROR(INDEX(Tarefas[ID],_xlfn.AGGREGATE(15,6,(ROW(Tarefas[ID])-ROW(INDEX(Tarefas[ID],1))+1)/(Tarefas[Status]=D$4),ROWS(D$6:D53)))&amp;" | "&amp;INDEX(Tarefas[Tarefa],_xlfn.AGGREGATE(15,6,(ROW(Tarefas[ID])-ROW(INDEX(Tarefas[ID],1))+1)/(Tarefas[Status]=D$4),ROWS(D$6:D53)))&amp;CHAR(10)&amp;INDEX(Tarefas[Prioridade],_xlfn.AGGREGATE(15,6,(ROW(Tarefas[ID])-ROW(INDEX(Tarefas[ID],1))+1)/(Tarefas[Status]=D$4),ROWS(D$6:D53)))&amp;" · "&amp;INDEX(Tarefas[Responsável],_xlfn.AGGREGATE(15,6,(ROW(Tarefas[ID])-ROW(INDEX(Tarefas[ID],1))+1)/(Tarefas[Status]=D$4),ROWS(D$6:D53)))&amp;CHAR(10)&amp;IF(INDEX(Tarefas[Prazo],_xlfn.AGGREGATE(15,6,(ROW(Tarefas[ID])-ROW(INDEX(Tarefas[ID],1))+1)/(Tarefas[Status]=D$4),ROWS(D$6:D53)))=0,"Sem prazo",TEXT(INDEX(Tarefas[Prazo],_xlfn.AGGREGATE(15,6,(ROW(Tarefas[ID])-ROW(INDEX(Tarefas[ID],1))+1)/(Tarefas[Status]=D$4),ROWS(D$6:D53))),"dd/mm/yyyy")),"")</f>
        <v/>
      </c>
      <c r="E53" s="19" t="str">
        <f>IFERROR(INDEX(Tarefas[ID],_xlfn.AGGREGATE(15,6,(ROW(Tarefas[ID])-ROW(INDEX(Tarefas[ID],1))+1)/(Tarefas[Status]=E$4),ROWS(E$6:E53)))&amp;" | "&amp;INDEX(Tarefas[Tarefa],_xlfn.AGGREGATE(15,6,(ROW(Tarefas[ID])-ROW(INDEX(Tarefas[ID],1))+1)/(Tarefas[Status]=E$4),ROWS(E$6:E53)))&amp;CHAR(10)&amp;INDEX(Tarefas[Prioridade],_xlfn.AGGREGATE(15,6,(ROW(Tarefas[ID])-ROW(INDEX(Tarefas[ID],1))+1)/(Tarefas[Status]=E$4),ROWS(E$6:E53)))&amp;" · "&amp;INDEX(Tarefas[Responsável],_xlfn.AGGREGATE(15,6,(ROW(Tarefas[ID])-ROW(INDEX(Tarefas[ID],1))+1)/(Tarefas[Status]=E$4),ROWS(E$6:E53)))&amp;CHAR(10)&amp;IF(INDEX(Tarefas[Prazo],_xlfn.AGGREGATE(15,6,(ROW(Tarefas[ID])-ROW(INDEX(Tarefas[ID],1))+1)/(Tarefas[Status]=E$4),ROWS(E$6:E53)))=0,"Sem prazo",TEXT(INDEX(Tarefas[Prazo],_xlfn.AGGREGATE(15,6,(ROW(Tarefas[ID])-ROW(INDEX(Tarefas[ID],1))+1)/(Tarefas[Status]=E$4),ROWS(E$6:E53))),"dd/mm/yyyy")),"")</f>
        <v/>
      </c>
      <c r="F53" s="19" t="str">
        <f>IFERROR(INDEX(Tarefas[ID],_xlfn.AGGREGATE(15,6,(ROW(Tarefas[ID])-ROW(INDEX(Tarefas[ID],1))+1)/(Tarefas[Status]=F$4),ROWS(F$6:F53)))&amp;" | "&amp;INDEX(Tarefas[Tarefa],_xlfn.AGGREGATE(15,6,(ROW(Tarefas[ID])-ROW(INDEX(Tarefas[ID],1))+1)/(Tarefas[Status]=F$4),ROWS(F$6:F53)))&amp;CHAR(10)&amp;INDEX(Tarefas[Prioridade],_xlfn.AGGREGATE(15,6,(ROW(Tarefas[ID])-ROW(INDEX(Tarefas[ID],1))+1)/(Tarefas[Status]=F$4),ROWS(F$6:F53)))&amp;" · "&amp;INDEX(Tarefas[Responsável],_xlfn.AGGREGATE(15,6,(ROW(Tarefas[ID])-ROW(INDEX(Tarefas[ID],1))+1)/(Tarefas[Status]=F$4),ROWS(F$6:F53)))&amp;CHAR(10)&amp;IF(INDEX(Tarefas[Prazo],_xlfn.AGGREGATE(15,6,(ROW(Tarefas[ID])-ROW(INDEX(Tarefas[ID],1))+1)/(Tarefas[Status]=F$4),ROWS(F$6:F53)))=0,"Sem prazo",TEXT(INDEX(Tarefas[Prazo],_xlfn.AGGREGATE(15,6,(ROW(Tarefas[ID])-ROW(INDEX(Tarefas[ID],1))+1)/(Tarefas[Status]=F$4),ROWS(F$6:F53))),"dd/mm/yyyy")),"")</f>
        <v/>
      </c>
    </row>
  </sheetData>
  <mergeCells count="2">
    <mergeCell ref="A2:F2"/>
    <mergeCell ref="A1:F1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161FF"/>
    <outlinePr summaryRight="0"/>
    <pageSetUpPr fitToPage="1"/>
  </sheetPr>
  <dimension ref="A1:C1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28" customWidth="1"/>
    <col min="2" max="2" width="75" customWidth="1"/>
    <col min="3" max="3" width="100" customWidth="1"/>
  </cols>
  <sheetData>
    <row r="1" spans="1:3" ht="38.1" customHeight="1" x14ac:dyDescent="0.25">
      <c r="A1" s="21" t="s">
        <v>185</v>
      </c>
      <c r="B1" s="22"/>
      <c r="C1" s="22"/>
    </row>
    <row r="2" spans="1:3" ht="36" customHeight="1" x14ac:dyDescent="0.25">
      <c r="A2" s="26" t="s">
        <v>186</v>
      </c>
      <c r="B2" s="22"/>
      <c r="C2" s="22"/>
    </row>
    <row r="5" spans="1:3" ht="32.1" customHeight="1" x14ac:dyDescent="0.25">
      <c r="A5" s="2" t="s">
        <v>187</v>
      </c>
      <c r="B5" s="2" t="s">
        <v>188</v>
      </c>
      <c r="C5" s="2" t="s">
        <v>189</v>
      </c>
    </row>
    <row r="6" spans="1:3" ht="75.95" customHeight="1" x14ac:dyDescent="0.25">
      <c r="A6" s="3" t="s">
        <v>190</v>
      </c>
      <c r="B6" s="3" t="s">
        <v>191</v>
      </c>
      <c r="C6" s="3" t="s">
        <v>192</v>
      </c>
    </row>
    <row r="7" spans="1:3" ht="75.95" customHeight="1" x14ac:dyDescent="0.25">
      <c r="A7" s="3" t="s">
        <v>193</v>
      </c>
      <c r="B7" s="3" t="s">
        <v>194</v>
      </c>
      <c r="C7" s="3" t="s">
        <v>195</v>
      </c>
    </row>
    <row r="8" spans="1:3" ht="75.95" customHeight="1" x14ac:dyDescent="0.25">
      <c r="A8" s="3" t="s">
        <v>196</v>
      </c>
      <c r="B8" s="3" t="s">
        <v>197</v>
      </c>
      <c r="C8" s="3" t="s">
        <v>198</v>
      </c>
    </row>
    <row r="9" spans="1:3" ht="75.95" customHeight="1" x14ac:dyDescent="0.25">
      <c r="A9" s="3" t="s">
        <v>199</v>
      </c>
      <c r="B9" s="3" t="s">
        <v>200</v>
      </c>
      <c r="C9" s="3" t="s">
        <v>201</v>
      </c>
    </row>
    <row r="10" spans="1:3" ht="75.95" customHeight="1" x14ac:dyDescent="0.25">
      <c r="A10" s="3" t="s">
        <v>202</v>
      </c>
      <c r="B10" s="3" t="s">
        <v>203</v>
      </c>
      <c r="C10" s="3" t="s">
        <v>204</v>
      </c>
    </row>
    <row r="11" spans="1:3" ht="75.95" customHeight="1" x14ac:dyDescent="0.25">
      <c r="A11" s="3" t="s">
        <v>205</v>
      </c>
      <c r="B11" s="3" t="s">
        <v>206</v>
      </c>
      <c r="C11" s="3" t="s">
        <v>207</v>
      </c>
    </row>
    <row r="12" spans="1:3" ht="75.95" customHeight="1" x14ac:dyDescent="0.25">
      <c r="A12" s="3" t="s">
        <v>208</v>
      </c>
      <c r="B12" s="3" t="s">
        <v>209</v>
      </c>
      <c r="C12" s="3" t="s">
        <v>210</v>
      </c>
    </row>
    <row r="13" spans="1:3" ht="75.95" customHeight="1" x14ac:dyDescent="0.25">
      <c r="A13" s="3" t="s">
        <v>211</v>
      </c>
      <c r="B13" s="3" t="s">
        <v>212</v>
      </c>
      <c r="C13" s="3" t="s">
        <v>213</v>
      </c>
    </row>
    <row r="14" spans="1:3" ht="75.95" customHeight="1" x14ac:dyDescent="0.25">
      <c r="A14" s="3" t="s">
        <v>214</v>
      </c>
      <c r="B14" s="3" t="s">
        <v>215</v>
      </c>
      <c r="C14" s="3" t="s">
        <v>216</v>
      </c>
    </row>
    <row r="15" spans="1:3" ht="75.95" customHeight="1" x14ac:dyDescent="0.25">
      <c r="A15" s="3" t="s">
        <v>217</v>
      </c>
      <c r="B15" s="3" t="s">
        <v>218</v>
      </c>
      <c r="C15" s="3" t="s">
        <v>219</v>
      </c>
    </row>
    <row r="16" spans="1:3" ht="75.95" customHeight="1" x14ac:dyDescent="0.25">
      <c r="A16" s="3" t="s">
        <v>220</v>
      </c>
      <c r="B16" s="3" t="s">
        <v>221</v>
      </c>
      <c r="C16" s="3" t="s">
        <v>222</v>
      </c>
    </row>
    <row r="17" spans="1:3" ht="75.95" customHeight="1" x14ac:dyDescent="0.25">
      <c r="A17" s="3" t="s">
        <v>223</v>
      </c>
      <c r="B17" s="3" t="s">
        <v>224</v>
      </c>
      <c r="C17" s="3" t="s">
        <v>225</v>
      </c>
    </row>
    <row r="18" spans="1:3" ht="75.95" customHeight="1" x14ac:dyDescent="0.25">
      <c r="A18" s="3" t="s">
        <v>226</v>
      </c>
      <c r="B18" s="3" t="s">
        <v>227</v>
      </c>
      <c r="C18" s="3" t="s">
        <v>228</v>
      </c>
    </row>
    <row r="19" spans="1:3" ht="75.95" customHeight="1" x14ac:dyDescent="0.25">
      <c r="A19" s="3" t="s">
        <v>229</v>
      </c>
      <c r="B19" s="3" t="s">
        <v>230</v>
      </c>
      <c r="C19" s="3" t="s">
        <v>231</v>
      </c>
    </row>
  </sheetData>
  <mergeCells count="2">
    <mergeCell ref="A1:C1"/>
    <mergeCell ref="A2:C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161FF"/>
    <outlinePr summaryRight="0"/>
    <pageSetUpPr fitToPage="1"/>
  </sheetPr>
  <dimension ref="A1:D5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10" customWidth="1"/>
    <col min="2" max="2" width="22" customWidth="1"/>
    <col min="3" max="3" width="75" customWidth="1"/>
    <col min="4" max="4" width="125" customWidth="1"/>
  </cols>
  <sheetData>
    <row r="1" spans="1:4" ht="38.1" customHeight="1" x14ac:dyDescent="0.25">
      <c r="A1" s="21" t="s">
        <v>232</v>
      </c>
      <c r="B1" s="22"/>
      <c r="C1" s="22"/>
      <c r="D1" s="22"/>
    </row>
    <row r="2" spans="1:4" ht="36" customHeight="1" x14ac:dyDescent="0.25">
      <c r="A2" s="26" t="s">
        <v>233</v>
      </c>
      <c r="B2" s="22"/>
      <c r="C2" s="22"/>
      <c r="D2" s="22"/>
    </row>
    <row r="5" spans="1:4" ht="32.1" customHeight="1" x14ac:dyDescent="0.25">
      <c r="A5" s="2" t="s">
        <v>21</v>
      </c>
      <c r="B5" s="2" t="s">
        <v>234</v>
      </c>
      <c r="C5" s="2" t="s">
        <v>235</v>
      </c>
      <c r="D5" s="2" t="s">
        <v>236</v>
      </c>
    </row>
    <row r="6" spans="1:4" ht="75.95" customHeight="1" x14ac:dyDescent="0.25">
      <c r="A6" s="3" t="s">
        <v>237</v>
      </c>
      <c r="B6" s="3" t="s">
        <v>238</v>
      </c>
      <c r="C6" s="3" t="s">
        <v>239</v>
      </c>
      <c r="D6" s="3" t="s">
        <v>240</v>
      </c>
    </row>
    <row r="7" spans="1:4" ht="75.95" customHeight="1" x14ac:dyDescent="0.25">
      <c r="A7" s="3" t="s">
        <v>241</v>
      </c>
      <c r="B7" s="3" t="s">
        <v>238</v>
      </c>
      <c r="C7" s="3" t="s">
        <v>242</v>
      </c>
      <c r="D7" s="3" t="s">
        <v>243</v>
      </c>
    </row>
    <row r="8" spans="1:4" ht="75.95" customHeight="1" x14ac:dyDescent="0.25">
      <c r="A8" s="3" t="s">
        <v>244</v>
      </c>
      <c r="B8" s="3" t="s">
        <v>238</v>
      </c>
      <c r="C8" s="3" t="s">
        <v>245</v>
      </c>
      <c r="D8" s="3" t="s">
        <v>246</v>
      </c>
    </row>
    <row r="9" spans="1:4" ht="75.95" customHeight="1" x14ac:dyDescent="0.25">
      <c r="A9" s="3" t="s">
        <v>247</v>
      </c>
      <c r="B9" s="3" t="s">
        <v>238</v>
      </c>
      <c r="C9" s="3" t="s">
        <v>248</v>
      </c>
      <c r="D9" s="3" t="s">
        <v>249</v>
      </c>
    </row>
    <row r="10" spans="1:4" ht="75.95" customHeight="1" x14ac:dyDescent="0.25">
      <c r="A10" s="3" t="s">
        <v>250</v>
      </c>
      <c r="B10" s="3" t="s">
        <v>238</v>
      </c>
      <c r="C10" s="3" t="s">
        <v>251</v>
      </c>
      <c r="D10" s="3" t="s">
        <v>252</v>
      </c>
    </row>
    <row r="11" spans="1:4" ht="75.95" customHeight="1" x14ac:dyDescent="0.25">
      <c r="A11" s="3" t="s">
        <v>253</v>
      </c>
      <c r="B11" s="3" t="s">
        <v>238</v>
      </c>
      <c r="C11" s="3" t="s">
        <v>254</v>
      </c>
      <c r="D11" s="3" t="s">
        <v>255</v>
      </c>
    </row>
    <row r="12" spans="1:4" ht="75.95" customHeight="1" x14ac:dyDescent="0.25">
      <c r="A12" s="3" t="s">
        <v>256</v>
      </c>
      <c r="B12" s="3" t="s">
        <v>238</v>
      </c>
      <c r="C12" s="3" t="s">
        <v>257</v>
      </c>
      <c r="D12" s="3" t="s">
        <v>258</v>
      </c>
    </row>
    <row r="13" spans="1:4" ht="75.95" customHeight="1" x14ac:dyDescent="0.25">
      <c r="A13" s="3" t="s">
        <v>259</v>
      </c>
      <c r="B13" s="3" t="s">
        <v>238</v>
      </c>
      <c r="C13" s="3" t="s">
        <v>260</v>
      </c>
      <c r="D13" s="3" t="s">
        <v>261</v>
      </c>
    </row>
    <row r="14" spans="1:4" ht="75.95" customHeight="1" x14ac:dyDescent="0.25">
      <c r="A14" s="3" t="s">
        <v>262</v>
      </c>
      <c r="B14" s="3" t="s">
        <v>238</v>
      </c>
      <c r="C14" s="3" t="s">
        <v>263</v>
      </c>
      <c r="D14" s="3" t="s">
        <v>264</v>
      </c>
    </row>
    <row r="15" spans="1:4" ht="75.95" customHeight="1" x14ac:dyDescent="0.25">
      <c r="A15" s="3" t="s">
        <v>265</v>
      </c>
      <c r="B15" s="3" t="s">
        <v>238</v>
      </c>
      <c r="C15" s="3" t="s">
        <v>266</v>
      </c>
      <c r="D15" s="3" t="s">
        <v>267</v>
      </c>
    </row>
    <row r="16" spans="1:4" ht="75.95" customHeight="1" x14ac:dyDescent="0.25">
      <c r="A16" s="3" t="s">
        <v>268</v>
      </c>
      <c r="B16" s="3" t="s">
        <v>238</v>
      </c>
      <c r="C16" s="3" t="s">
        <v>269</v>
      </c>
      <c r="D16" s="3" t="s">
        <v>270</v>
      </c>
    </row>
    <row r="17" spans="1:4" ht="75.95" customHeight="1" x14ac:dyDescent="0.25">
      <c r="A17" s="3" t="s">
        <v>271</v>
      </c>
      <c r="B17" s="3" t="s">
        <v>238</v>
      </c>
      <c r="C17" s="3" t="s">
        <v>272</v>
      </c>
      <c r="D17" s="3" t="s">
        <v>273</v>
      </c>
    </row>
    <row r="18" spans="1:4" ht="75.95" customHeight="1" x14ac:dyDescent="0.25">
      <c r="A18" s="3" t="s">
        <v>274</v>
      </c>
      <c r="B18" s="3" t="s">
        <v>238</v>
      </c>
      <c r="C18" s="3" t="s">
        <v>275</v>
      </c>
      <c r="D18" s="3" t="s">
        <v>276</v>
      </c>
    </row>
    <row r="19" spans="1:4" ht="75.95" customHeight="1" x14ac:dyDescent="0.25">
      <c r="A19" s="3" t="s">
        <v>277</v>
      </c>
      <c r="B19" s="3" t="s">
        <v>238</v>
      </c>
      <c r="C19" s="3" t="s">
        <v>278</v>
      </c>
      <c r="D19" s="3" t="s">
        <v>279</v>
      </c>
    </row>
    <row r="20" spans="1:4" ht="75.95" customHeight="1" x14ac:dyDescent="0.25">
      <c r="A20" s="3" t="s">
        <v>280</v>
      </c>
      <c r="B20" s="3" t="s">
        <v>238</v>
      </c>
      <c r="C20" s="3" t="s">
        <v>281</v>
      </c>
      <c r="D20" s="3" t="s">
        <v>282</v>
      </c>
    </row>
    <row r="21" spans="1:4" ht="75.95" customHeight="1" x14ac:dyDescent="0.25">
      <c r="A21" s="3" t="s">
        <v>283</v>
      </c>
      <c r="B21" s="3" t="s">
        <v>238</v>
      </c>
      <c r="C21" s="3" t="s">
        <v>284</v>
      </c>
      <c r="D21" s="3" t="s">
        <v>285</v>
      </c>
    </row>
    <row r="22" spans="1:4" ht="75.95" customHeight="1" x14ac:dyDescent="0.25">
      <c r="A22" s="3" t="s">
        <v>286</v>
      </c>
      <c r="B22" s="3" t="s">
        <v>238</v>
      </c>
      <c r="C22" s="3" t="s">
        <v>287</v>
      </c>
      <c r="D22" s="3" t="s">
        <v>288</v>
      </c>
    </row>
    <row r="23" spans="1:4" ht="75.95" customHeight="1" x14ac:dyDescent="0.25">
      <c r="A23" s="3" t="s">
        <v>289</v>
      </c>
      <c r="B23" s="3" t="s">
        <v>238</v>
      </c>
      <c r="C23" s="3" t="s">
        <v>290</v>
      </c>
      <c r="D23" s="3" t="s">
        <v>291</v>
      </c>
    </row>
    <row r="24" spans="1:4" ht="75.95" customHeight="1" x14ac:dyDescent="0.25">
      <c r="A24" s="3" t="s">
        <v>292</v>
      </c>
      <c r="B24" s="3" t="s">
        <v>293</v>
      </c>
      <c r="C24" s="3" t="s">
        <v>294</v>
      </c>
      <c r="D24" s="3" t="s">
        <v>295</v>
      </c>
    </row>
    <row r="25" spans="1:4" ht="75.95" customHeight="1" x14ac:dyDescent="0.25">
      <c r="A25" s="3" t="s">
        <v>296</v>
      </c>
      <c r="B25" s="3" t="s">
        <v>293</v>
      </c>
      <c r="C25" s="3" t="s">
        <v>297</v>
      </c>
      <c r="D25" s="3" t="s">
        <v>298</v>
      </c>
    </row>
    <row r="26" spans="1:4" ht="75.95" customHeight="1" x14ac:dyDescent="0.25">
      <c r="A26" s="3" t="s">
        <v>299</v>
      </c>
      <c r="B26" s="3" t="s">
        <v>293</v>
      </c>
      <c r="C26" s="3" t="s">
        <v>300</v>
      </c>
      <c r="D26" s="3" t="s">
        <v>301</v>
      </c>
    </row>
    <row r="27" spans="1:4" ht="75.95" customHeight="1" x14ac:dyDescent="0.25">
      <c r="A27" s="3" t="s">
        <v>302</v>
      </c>
      <c r="B27" s="3" t="s">
        <v>293</v>
      </c>
      <c r="C27" s="3" t="s">
        <v>303</v>
      </c>
      <c r="D27" s="3" t="s">
        <v>304</v>
      </c>
    </row>
    <row r="28" spans="1:4" ht="75.95" customHeight="1" x14ac:dyDescent="0.25">
      <c r="A28" s="3" t="s">
        <v>305</v>
      </c>
      <c r="B28" s="3" t="s">
        <v>293</v>
      </c>
      <c r="C28" s="3" t="s">
        <v>306</v>
      </c>
      <c r="D28" s="3" t="s">
        <v>307</v>
      </c>
    </row>
    <row r="29" spans="1:4" ht="75.95" customHeight="1" x14ac:dyDescent="0.25">
      <c r="A29" s="3" t="s">
        <v>308</v>
      </c>
      <c r="B29" s="3" t="s">
        <v>293</v>
      </c>
      <c r="C29" s="3" t="s">
        <v>309</v>
      </c>
      <c r="D29" s="3" t="s">
        <v>310</v>
      </c>
    </row>
    <row r="30" spans="1:4" ht="75.95" customHeight="1" x14ac:dyDescent="0.25">
      <c r="A30" s="3" t="s">
        <v>311</v>
      </c>
      <c r="B30" s="3" t="s">
        <v>293</v>
      </c>
      <c r="C30" s="3" t="s">
        <v>312</v>
      </c>
      <c r="D30" s="3" t="s">
        <v>313</v>
      </c>
    </row>
    <row r="31" spans="1:4" ht="75.95" customHeight="1" x14ac:dyDescent="0.25">
      <c r="A31" s="3" t="s">
        <v>314</v>
      </c>
      <c r="B31" s="3" t="s">
        <v>293</v>
      </c>
      <c r="C31" s="3" t="s">
        <v>315</v>
      </c>
      <c r="D31" s="3" t="s">
        <v>316</v>
      </c>
    </row>
    <row r="32" spans="1:4" ht="75.95" customHeight="1" x14ac:dyDescent="0.25">
      <c r="A32" s="3" t="s">
        <v>317</v>
      </c>
      <c r="B32" s="3" t="s">
        <v>293</v>
      </c>
      <c r="C32" s="3" t="s">
        <v>318</v>
      </c>
      <c r="D32" s="3" t="s">
        <v>319</v>
      </c>
    </row>
    <row r="33" spans="1:4" ht="75.95" customHeight="1" x14ac:dyDescent="0.25">
      <c r="A33" s="3" t="s">
        <v>320</v>
      </c>
      <c r="B33" s="3" t="s">
        <v>293</v>
      </c>
      <c r="C33" s="3" t="s">
        <v>321</v>
      </c>
      <c r="D33" s="3" t="s">
        <v>322</v>
      </c>
    </row>
    <row r="34" spans="1:4" ht="75.95" customHeight="1" x14ac:dyDescent="0.25">
      <c r="A34" s="3" t="s">
        <v>323</v>
      </c>
      <c r="B34" s="3" t="s">
        <v>293</v>
      </c>
      <c r="C34" s="3" t="s">
        <v>324</v>
      </c>
      <c r="D34" s="3" t="s">
        <v>325</v>
      </c>
    </row>
    <row r="35" spans="1:4" ht="75.95" customHeight="1" x14ac:dyDescent="0.25">
      <c r="A35" s="3" t="s">
        <v>326</v>
      </c>
      <c r="B35" s="3" t="s">
        <v>327</v>
      </c>
      <c r="C35" s="3" t="s">
        <v>328</v>
      </c>
      <c r="D35" s="3" t="s">
        <v>329</v>
      </c>
    </row>
    <row r="36" spans="1:4" ht="75.95" customHeight="1" x14ac:dyDescent="0.25">
      <c r="A36" s="3" t="s">
        <v>330</v>
      </c>
      <c r="B36" s="3" t="s">
        <v>327</v>
      </c>
      <c r="C36" s="3" t="s">
        <v>331</v>
      </c>
      <c r="D36" s="3" t="s">
        <v>332</v>
      </c>
    </row>
    <row r="37" spans="1:4" ht="75.95" customHeight="1" x14ac:dyDescent="0.25">
      <c r="A37" s="3" t="s">
        <v>333</v>
      </c>
      <c r="B37" s="3" t="s">
        <v>327</v>
      </c>
      <c r="C37" s="3" t="s">
        <v>334</v>
      </c>
      <c r="D37" s="3" t="s">
        <v>335</v>
      </c>
    </row>
    <row r="38" spans="1:4" ht="75.95" customHeight="1" x14ac:dyDescent="0.25">
      <c r="A38" s="3" t="s">
        <v>336</v>
      </c>
      <c r="B38" s="3" t="s">
        <v>327</v>
      </c>
      <c r="C38" s="3" t="s">
        <v>337</v>
      </c>
      <c r="D38" s="3" t="s">
        <v>338</v>
      </c>
    </row>
    <row r="39" spans="1:4" ht="75.95" customHeight="1" x14ac:dyDescent="0.25">
      <c r="A39" s="3" t="s">
        <v>339</v>
      </c>
      <c r="B39" s="3" t="s">
        <v>327</v>
      </c>
      <c r="C39" s="3" t="s">
        <v>340</v>
      </c>
      <c r="D39" s="3" t="s">
        <v>341</v>
      </c>
    </row>
    <row r="40" spans="1:4" ht="75.95" customHeight="1" x14ac:dyDescent="0.25">
      <c r="A40" s="3" t="s">
        <v>342</v>
      </c>
      <c r="B40" s="3" t="s">
        <v>327</v>
      </c>
      <c r="C40" s="3" t="s">
        <v>343</v>
      </c>
      <c r="D40" s="3" t="s">
        <v>344</v>
      </c>
    </row>
    <row r="41" spans="1:4" ht="75.95" customHeight="1" x14ac:dyDescent="0.25">
      <c r="A41" s="3" t="s">
        <v>345</v>
      </c>
      <c r="B41" s="3" t="s">
        <v>327</v>
      </c>
      <c r="C41" s="3" t="s">
        <v>346</v>
      </c>
      <c r="D41" s="3" t="s">
        <v>347</v>
      </c>
    </row>
    <row r="42" spans="1:4" ht="75.95" customHeight="1" x14ac:dyDescent="0.25">
      <c r="A42" s="3" t="s">
        <v>348</v>
      </c>
      <c r="B42" s="3" t="s">
        <v>327</v>
      </c>
      <c r="C42" s="3" t="s">
        <v>349</v>
      </c>
      <c r="D42" s="3" t="s">
        <v>350</v>
      </c>
    </row>
    <row r="43" spans="1:4" ht="75.95" customHeight="1" x14ac:dyDescent="0.25">
      <c r="A43" s="3" t="s">
        <v>351</v>
      </c>
      <c r="B43" s="3" t="s">
        <v>327</v>
      </c>
      <c r="C43" s="3" t="s">
        <v>352</v>
      </c>
      <c r="D43" s="3" t="s">
        <v>353</v>
      </c>
    </row>
    <row r="44" spans="1:4" ht="75.95" customHeight="1" x14ac:dyDescent="0.25">
      <c r="A44" s="3" t="s">
        <v>354</v>
      </c>
      <c r="B44" s="3" t="s">
        <v>327</v>
      </c>
      <c r="C44" s="3" t="s">
        <v>355</v>
      </c>
      <c r="D44" s="3" t="s">
        <v>356</v>
      </c>
    </row>
    <row r="45" spans="1:4" ht="75.95" customHeight="1" x14ac:dyDescent="0.25">
      <c r="A45" s="3" t="s">
        <v>357</v>
      </c>
      <c r="B45" s="3" t="s">
        <v>327</v>
      </c>
      <c r="C45" s="3" t="s">
        <v>358</v>
      </c>
      <c r="D45" s="3" t="s">
        <v>359</v>
      </c>
    </row>
    <row r="46" spans="1:4" ht="75.95" customHeight="1" x14ac:dyDescent="0.25">
      <c r="A46" s="3" t="s">
        <v>360</v>
      </c>
      <c r="B46" s="3" t="s">
        <v>327</v>
      </c>
      <c r="C46" s="3" t="s">
        <v>361</v>
      </c>
      <c r="D46" s="3" t="s">
        <v>362</v>
      </c>
    </row>
    <row r="47" spans="1:4" ht="75.95" customHeight="1" x14ac:dyDescent="0.25">
      <c r="A47" s="3" t="s">
        <v>363</v>
      </c>
      <c r="B47" s="3" t="s">
        <v>327</v>
      </c>
      <c r="C47" s="3" t="s">
        <v>364</v>
      </c>
      <c r="D47" s="3" t="s">
        <v>365</v>
      </c>
    </row>
    <row r="48" spans="1:4" ht="75.95" customHeight="1" x14ac:dyDescent="0.25">
      <c r="A48" s="3" t="s">
        <v>366</v>
      </c>
      <c r="B48" s="3" t="s">
        <v>367</v>
      </c>
      <c r="C48" s="3" t="s">
        <v>368</v>
      </c>
      <c r="D48" s="3" t="s">
        <v>369</v>
      </c>
    </row>
    <row r="49" spans="1:4" ht="75.95" customHeight="1" x14ac:dyDescent="0.25">
      <c r="A49" s="3" t="s">
        <v>370</v>
      </c>
      <c r="B49" s="3" t="s">
        <v>367</v>
      </c>
      <c r="C49" s="3" t="s">
        <v>371</v>
      </c>
      <c r="D49" s="3" t="s">
        <v>372</v>
      </c>
    </row>
    <row r="50" spans="1:4" ht="75.95" customHeight="1" x14ac:dyDescent="0.25">
      <c r="A50" s="3" t="s">
        <v>373</v>
      </c>
      <c r="B50" s="3" t="s">
        <v>367</v>
      </c>
      <c r="C50" s="3" t="s">
        <v>374</v>
      </c>
      <c r="D50" s="3" t="s">
        <v>375</v>
      </c>
    </row>
    <row r="51" spans="1:4" ht="75.95" customHeight="1" x14ac:dyDescent="0.25">
      <c r="A51" s="3" t="s">
        <v>376</v>
      </c>
      <c r="B51" s="3" t="s">
        <v>367</v>
      </c>
      <c r="C51" s="3" t="s">
        <v>377</v>
      </c>
      <c r="D51" s="3" t="s">
        <v>378</v>
      </c>
    </row>
    <row r="52" spans="1:4" ht="75.95" customHeight="1" x14ac:dyDescent="0.25">
      <c r="A52" s="3" t="s">
        <v>379</v>
      </c>
      <c r="B52" s="3" t="s">
        <v>380</v>
      </c>
      <c r="C52" s="3" t="s">
        <v>381</v>
      </c>
      <c r="D52" s="3" t="s">
        <v>382</v>
      </c>
    </row>
    <row r="53" spans="1:4" ht="75.95" customHeight="1" x14ac:dyDescent="0.25">
      <c r="A53" s="3" t="s">
        <v>383</v>
      </c>
      <c r="B53" s="3" t="s">
        <v>380</v>
      </c>
      <c r="C53" s="3" t="s">
        <v>384</v>
      </c>
      <c r="D53" s="3" t="s">
        <v>385</v>
      </c>
    </row>
    <row r="54" spans="1:4" ht="75.95" customHeight="1" x14ac:dyDescent="0.25">
      <c r="A54" s="3" t="s">
        <v>386</v>
      </c>
      <c r="B54" s="3" t="s">
        <v>380</v>
      </c>
      <c r="C54" s="3" t="s">
        <v>387</v>
      </c>
      <c r="D54" s="3" t="s">
        <v>388</v>
      </c>
    </row>
    <row r="55" spans="1:4" ht="75.95" customHeight="1" x14ac:dyDescent="0.25">
      <c r="A55" s="3" t="s">
        <v>389</v>
      </c>
      <c r="B55" s="3" t="s">
        <v>380</v>
      </c>
      <c r="C55" s="3" t="s">
        <v>390</v>
      </c>
      <c r="D55" s="3" t="s">
        <v>391</v>
      </c>
    </row>
    <row r="56" spans="1:4" ht="75.95" customHeight="1" x14ac:dyDescent="0.25">
      <c r="A56" s="3" t="s">
        <v>392</v>
      </c>
      <c r="B56" s="3" t="s">
        <v>380</v>
      </c>
      <c r="C56" s="3" t="s">
        <v>393</v>
      </c>
      <c r="D56" s="3" t="s">
        <v>394</v>
      </c>
    </row>
    <row r="57" spans="1:4" ht="75.95" customHeight="1" x14ac:dyDescent="0.25">
      <c r="A57" s="3" t="s">
        <v>395</v>
      </c>
      <c r="B57" s="3" t="s">
        <v>380</v>
      </c>
      <c r="C57" s="3" t="s">
        <v>396</v>
      </c>
      <c r="D57" s="3" t="s">
        <v>397</v>
      </c>
    </row>
    <row r="58" spans="1:4" ht="75.95" customHeight="1" x14ac:dyDescent="0.25">
      <c r="A58" s="3" t="s">
        <v>398</v>
      </c>
      <c r="B58" s="3" t="s">
        <v>380</v>
      </c>
      <c r="C58" s="3" t="s">
        <v>399</v>
      </c>
      <c r="D58" s="3" t="s">
        <v>400</v>
      </c>
    </row>
    <row r="59" spans="1:4" ht="75.95" customHeight="1" x14ac:dyDescent="0.25">
      <c r="A59" s="3" t="s">
        <v>401</v>
      </c>
      <c r="B59" s="3" t="s">
        <v>380</v>
      </c>
      <c r="C59" s="3" t="s">
        <v>402</v>
      </c>
      <c r="D59" s="3" t="s">
        <v>403</v>
      </c>
    </row>
  </sheetData>
  <mergeCells count="2">
    <mergeCell ref="A1:D1"/>
    <mergeCell ref="A2:D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Painel</vt:lpstr>
      <vt:lpstr>Quadro</vt:lpstr>
      <vt:lpstr>Kanban</vt:lpstr>
      <vt:lpstr>Como usar</vt:lpstr>
      <vt:lpstr>Base da auditoria</vt:lpstr>
      <vt:lpstr>Painel!Area_de_impressao</vt:lpstr>
      <vt:lpstr>'Base da auditoria'!Titulos_de_impressao</vt:lpstr>
      <vt:lpstr>'Como usar'!Titulos_de_impressao</vt:lpstr>
      <vt:lpstr>Kanban!Titulos_de_impressao</vt:lpstr>
      <vt:lpstr>Painel!Titulos_de_impressao</vt:lpstr>
      <vt:lpstr>Quadro!Titulos_de_impressao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GCA | Quadro de acompanhamento da entrega</dc:title>
  <dc:creator>Guia Comercial Araraquara</dc:creator>
  <cp:lastModifiedBy>ANDRESSA ANTHERO</cp:lastModifiedBy>
  <dcterms:created xsi:type="dcterms:W3CDTF">2026-09-22T18:44:20Z</dcterms:created>
  <dcterms:modified xsi:type="dcterms:W3CDTF">2026-09-23T20:10:36Z</dcterms:modified>
</cp:coreProperties>
</file>