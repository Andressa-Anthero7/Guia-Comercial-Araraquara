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/>
  <workbookPr/>
  <mc:AlternateContent xmlns:mc="http://schemas.openxmlformats.org/markup-compatibility/2006">
    <mc:Choice Requires="x15">
      <x15ac:absPath xmlns:x15ac="http://schemas.microsoft.com/office/spreadsheetml/2010/11/ac" url="C:\Users\andre\vscode\gca\docs\"/>
    </mc:Choice>
  </mc:AlternateContent>
  <xr:revisionPtr revIDLastSave="0" documentId="13_ncr:1_{0E72A9B4-3E4C-4C5B-A970-19101A1EECA5}" xr6:coauthVersionLast="47" xr6:coauthVersionMax="47" xr10:uidLastSave="{00000000-0000-0000-0000-000000000000}"/>
  <bookViews>
    <workbookView xWindow="-120" yWindow="-120" windowWidth="20640" windowHeight="11040" xr2:uid="{00000000-000D-0000-FFFF-FFFF00000000}"/>
  </bookViews>
  <sheets>
    <sheet name="Execução atual" sheetId="7" r:id="rId1"/>
    <sheet name="Resumo" sheetId="1" r:id="rId2"/>
    <sheet name="Funcionalidades" sheetId="2" r:id="rId3"/>
    <sheet name="Pendências" sheetId="3" r:id="rId4"/>
    <sheet name="Testes" sheetId="4" r:id="rId5"/>
    <sheet name="Correções" sheetId="5" r:id="rId6"/>
    <sheet name="Evidências" sheetId="6" r:id="rId7"/>
  </sheets>
  <definedNames>
    <definedName name="_xlnm.Print_Titles" localSheetId="5">Correções!$1:$4</definedName>
    <definedName name="_xlnm.Print_Titles" localSheetId="6">Evidências!$1:$4</definedName>
    <definedName name="_xlnm.Print_Titles" localSheetId="2">Funcionalidades!$1:$4</definedName>
    <definedName name="_xlnm.Print_Titles" localSheetId="3">Pendências!$1:$4</definedName>
    <definedName name="_xlnm.Print_Titles" localSheetId="1">Resumo!$1:$4</definedName>
    <definedName name="_xlnm.Print_Titles" localSheetId="4">Testes!$1:$4</definedName>
  </definedNames>
  <calcPr calcId="181029"/>
</workbook>
</file>

<file path=xl/calcChain.xml><?xml version="1.0" encoding="utf-8"?>
<calcChain xmlns="http://schemas.openxmlformats.org/spreadsheetml/2006/main">
  <c r="B8" i="1" l="1"/>
  <c r="B7" i="1"/>
</calcChain>
</file>

<file path=xl/sharedStrings.xml><?xml version="1.0" encoding="utf-8"?>
<sst xmlns="http://schemas.openxmlformats.org/spreadsheetml/2006/main" count="489" uniqueCount="378">
  <si>
    <t>AUDITORIA DE ENTREGA | GCA</t>
  </si>
  <si>
    <t>22/09/2026 • Resultados locais e produção separados • Consulte os limites antes de liberar.</t>
  </si>
  <si>
    <t>Indicador</t>
  </si>
  <si>
    <t>Resultado</t>
  </si>
  <si>
    <t>Observação</t>
  </si>
  <si>
    <t>Parecer</t>
  </si>
  <si>
    <t>ENTREGA INTEGRAL AINDA NÃO APROVADA</t>
  </si>
  <si>
    <t>Dois subdomínios com TLS inválido e páginas de depuração expostas.</t>
  </si>
  <si>
    <t>Data da auditoria</t>
  </si>
  <si>
    <t>Conversão do relatório existente; não é uma nova rodada de testes.</t>
  </si>
  <si>
    <t>Funcionalidades inventariadas</t>
  </si>
  <si>
    <t>Resultados e limites preservados do relatório.</t>
  </si>
  <si>
    <t>Ações para liberação</t>
  </si>
  <si>
    <t>Responsável, prazo e acompanhamento disponíveis para preenchimento.</t>
  </si>
  <si>
    <t>Testes da API</t>
  </si>
  <si>
    <t>55 existentes + 5 novos de recuperação de senha.</t>
  </si>
  <si>
    <t>Cenários de interface</t>
  </si>
  <si>
    <t>49 aprovados na rodada completa; cenário móvel corrigido e aprovado no reteste; 1 novo teste de cópia.</t>
  </si>
  <si>
    <t>Integrações com Django real</t>
  </si>
  <si>
    <t>Banco temporário; nenhum dado de produção alterado.</t>
  </si>
  <si>
    <t>Testes operacionais</t>
  </si>
  <si>
    <t>Instalação e backup.</t>
  </si>
  <si>
    <t>TypeScript e build</t>
  </si>
  <si>
    <t>Aprovados</t>
  </si>
  <si>
    <t>Build principal: 299,70 kB; gzip: 89,73 kB.</t>
  </si>
  <si>
    <t>Publicação</t>
  </si>
  <si>
    <t>Não realizada</t>
  </si>
  <si>
    <t>Alterações locais e backlog anterior preservados; sem modificação de contas remotas.</t>
  </si>
  <si>
    <t>Testado localmente</t>
  </si>
  <si>
    <t>Critério</t>
  </si>
  <si>
    <t>Passou nos cenários indicados; não significa todas as combinações nem publicação em produção.</t>
  </si>
  <si>
    <t>Parcial</t>
  </si>
  <si>
    <t>Código e/ou parte do fluxo verificados, com lacunas explícitas.</t>
  </si>
  <si>
    <t>Bloqueado em produção</t>
  </si>
  <si>
    <t>Falha observada diretamente na hospedagem.</t>
  </si>
  <si>
    <t>Pendente</t>
  </si>
  <si>
    <t>Falta validação externa, configuração, conteúdo ou conclusão.</t>
  </si>
  <si>
    <t>Escopo comercial</t>
  </si>
  <si>
    <t>Pagamento integrado em espera</t>
  </si>
  <si>
    <t>Fora da entrega automática até retomada explícita do escopo.</t>
  </si>
  <si>
    <t>Conteúdo</t>
  </si>
  <si>
    <t>Cadastro real pendente</t>
  </si>
  <si>
    <t>Produção sem eventos, cupons e telefones nas consultas desta auditoria.</t>
  </si>
  <si>
    <t>Limite da inspeção remota</t>
  </si>
  <si>
    <t>Ambiente uWSGI não obtido</t>
  </si>
  <si>
    <t>SMTP/variáveis representam os arquivos lidos. DEBUG confirmado independentemente por HTTP.</t>
  </si>
  <si>
    <t>Formato</t>
  </si>
  <si>
    <t>Excel .xlsm</t>
  </si>
  <si>
    <t>Pasta habilitada para macros; nenhuma macro adicionada.</t>
  </si>
  <si>
    <t>INVENTÁRIO FUNCIONAL</t>
  </si>
  <si>
    <t>Resultado original preservado. Teste local aprovado não equivale a funcionalidade publicada.</t>
  </si>
  <si>
    <t>ID</t>
  </si>
  <si>
    <t>Área</t>
  </si>
  <si>
    <t>Funcionalidade</t>
  </si>
  <si>
    <t>Resultado e limite da verificação</t>
  </si>
  <si>
    <t>F01</t>
  </si>
  <si>
    <t>Portal</t>
  </si>
  <si>
    <t>Catálogo de empresas publicadas</t>
  </si>
  <si>
    <t>Testado localmente; API pública respondeu 200 com 7 empresas.</t>
  </si>
  <si>
    <t>F02</t>
  </si>
  <si>
    <t>Busca por nome, descrição, bairro e tags; filtros de categoria/bairro</t>
  </si>
  <si>
    <t>Busca e filtros cobertos parcialmente por navegador; nem todas as combinações têm cenário próprio.</t>
  </si>
  <si>
    <t>F03</t>
  </si>
  <si>
    <t>Categorias, ícones e destaques</t>
  </si>
  <si>
    <t>Listagem/ocultação testadas; produção retornou 8 categorias.</t>
  </si>
  <si>
    <t>F04</t>
  </si>
  <si>
    <t>Detalhes de empresa no modal</t>
  </si>
  <si>
    <t>Testado no navegador: descrição, serviços, especialidades, endereço, horários e contatos.</t>
  </si>
  <si>
    <t>F05</t>
  </si>
  <si>
    <t>Página dedicada e prévia por ?subdomain=</t>
  </si>
  <si>
    <t>Renderização local testada; HTTPS das duas páginas de produção bloqueado.</t>
  </si>
  <si>
    <t>F06</t>
  </si>
  <si>
    <t>Telefone e WhatsApp separados</t>
  </si>
  <si>
    <t>Testado com API real, inclusive compatibilidade com contato legado.</t>
  </si>
  <si>
    <t>F07</t>
  </si>
  <si>
    <t>Links de site, Instagram, e-mail e mapa</t>
  </si>
  <si>
    <t>Presença/omissão e renderização verificadas; recebimento de mensagens e exatidão dos cadastros não aferidos.</t>
  </si>
  <si>
    <t>F08</t>
  </si>
  <si>
    <t>Capa e galeria por URLs, cache e acesso restrito à empresa publicada</t>
  </si>
  <si>
    <t>Testado na API e no fluxo de cadastro/aprovação com navegador real.</t>
  </si>
  <si>
    <t>F09</t>
  </si>
  <si>
    <t>Cadastro público de estabelecimento, capa e contatos</t>
  </si>
  <si>
    <t>Testado com API real; exige aprovação antes da publicação.</t>
  </si>
  <si>
    <t>F10</t>
  </si>
  <si>
    <t>Envio de avaliação, erro, reenvio e moderação</t>
  </si>
  <si>
    <t>Testado em navegador e API; avaliação pendente não aparece publicamente.</t>
  </si>
  <si>
    <t>F11</t>
  </si>
  <si>
    <t>Cupons ativos, validade e cópia de código</t>
  </si>
  <si>
    <t>Testado localmente, inclusive recusa da área de transferência; produção está sem cupons.</t>
  </si>
  <si>
    <t>F12</t>
  </si>
  <si>
    <t>Eventos: título, descrição, local, data e imagem</t>
  </si>
  <si>
    <t>CRUD da API testado; leitura de código da apresentação; produção está sem eventos.</t>
  </si>
  <si>
    <t>F13</t>
  </si>
  <si>
    <t>Botão de interesse e contador de eventos</t>
  </si>
  <si>
    <t>Incompleto: contadores fictícios (124/342/88 e padrões 15/20), estado apenas na memória do navegador, sem persistência/API. Não apresentar como participação real.</t>
  </si>
  <si>
    <t>F14</t>
  </si>
  <si>
    <t>Telefones úteis: lista, busca e ligação</t>
  </si>
  <si>
    <t>CRUD da API e leitura da interface; produção está sem telefones cadastrados. Busca não tem cobertura específica completa.</t>
  </si>
  <si>
    <t>F15</t>
  </si>
  <si>
    <t>Copiar telefone útil</t>
  </si>
  <si>
    <t>Corrigido: sucesso só depois da cópia; falha mostra número para cópia manual. Teste de navegador dedicado.</t>
  </si>
  <si>
    <t>F16</t>
  </si>
  <si>
    <t>Carregamento, indisponibilidade e nova tentativa por seção</t>
  </si>
  <si>
    <t>Testado: falha não reintroduz dados demonstrativos nem apaga seções disponíveis.</t>
  </si>
  <si>
    <t>F17</t>
  </si>
  <si>
    <t>Menu e apresentação responsiva</t>
  </si>
  <si>
    <t>Cenários de navegador em desktop e celular; não equivale a teste em todos os dispositivos.</t>
  </si>
  <si>
    <t>F18</t>
  </si>
  <si>
    <t>Rodapé e contato comercial</t>
  </si>
  <si>
    <t>Código revisado; telefone comercial fixo precisa ser confirmado pelo responsável. Sem envio de mensagem nesta auditoria.</t>
  </si>
  <si>
    <t>F19</t>
  </si>
  <si>
    <t>Anunciante</t>
  </si>
  <si>
    <t>Login, sessão, saída e retorno após expiração</t>
  </si>
  <si>
    <t>Testado com API real e simulação; correção local na fronteira de carregamento das telas.</t>
  </si>
  <si>
    <t>F20</t>
  </si>
  <si>
    <t>Seis páginas: visão geral, cadastro, estabelecimentos, anúncios, cupons e financeiro</t>
  </si>
  <si>
    <t>Navegação, URL direta, recarregamento, histórico e retorno após login cobertos no navegador.</t>
  </si>
  <si>
    <t>F21</t>
  </si>
  <si>
    <t>Editar responsável e dados cadastrais</t>
  </si>
  <si>
    <t>Salvamento e persistência testados com API real.</t>
  </si>
  <si>
    <t>F22</t>
  </si>
  <si>
    <t>Editar dados do estabelecimento</t>
  </si>
  <si>
    <t>Testado com API real; isolamento entre empresas testado na API.</t>
  </si>
  <si>
    <t>F23</t>
  </si>
  <si>
    <t>Enviar/trocar capa, adicionar/remover fotos e aplicar limites</t>
  </si>
  <si>
    <t>API valida conteúdo e titularidade; componente local revisado e ajustado para 320 px. Upload completo por esse novo componente ainda requer cenário dedicado.</t>
  </si>
  <si>
    <t>F24</t>
  </si>
  <si>
    <t>Editar anúncio e encaminhar para análise</t>
  </si>
  <si>
    <t>API e navegador testados; edição não deve publicar automaticamente.</t>
  </si>
  <si>
    <t>F25</t>
  </si>
  <si>
    <t>Criar, editar e desativar cupom; datas e vínculo</t>
  </si>
  <si>
    <t>API e navegador testados; benefícios do plano verificados na API.</t>
  </si>
  <si>
    <t>F26</t>
  </si>
  <si>
    <t>Consultar cobranças, vencimentos, composição de valores e pagamento registrado</t>
  </si>
  <si>
    <t>Navegador testado; não realiza pagamento bancário.</t>
  </si>
  <si>
    <t>F27</t>
  </si>
  <si>
    <t>Proteção de rascunhos, cancelamento, erros e salvamento em andamento</t>
  </si>
  <si>
    <t>Testado no navegador, incluindo navegação e atualização.</t>
  </si>
  <si>
    <t>F28</t>
  </si>
  <si>
    <t>Recuperar senha por e-mail e redefinir com token</t>
  </si>
  <si>
    <t>Cinco testes novos da API e dois de interface. Envio externo pendente: SMTP não encontrado na configuração lida.</t>
  </si>
  <si>
    <t>F29</t>
  </si>
  <si>
    <t>Visitas e cliques dos últimos 30 dias</t>
  </si>
  <si>
    <t>API testada para eventos válidos e isolamento; painel local implementado. Sem validação de volume/tráfego real.</t>
  </si>
  <si>
    <t>F30</t>
  </si>
  <si>
    <t>Administração</t>
  </si>
  <si>
    <t>Login e controle de equipe/superadministrador</t>
  </si>
  <si>
    <t>API e navegador testados; usuário anunciante recebe 403 ao consultar administração.</t>
  </si>
  <si>
    <t>F31</t>
  </si>
  <si>
    <t>Estabelecimentos: criar, editar, publicar, suspender, desativar e remover conforme vínculos</t>
  </si>
  <si>
    <t>API e navegador cobrem operações representativas e restrições.</t>
  </si>
  <si>
    <t>F32</t>
  </si>
  <si>
    <t>Anunciantes e vínculo com estabelecimentos/conta</t>
  </si>
  <si>
    <t>API testada. Inspeção remota encontrou perfis de mesmo nome sem empresas; não foram consolidados.</t>
  </si>
  <si>
    <t>F33</t>
  </si>
  <si>
    <t>Categorias e tags</t>
  </si>
  <si>
    <t>API e navegador: criação/edição de categoria, ocultação e preservação de vínculos de tags.</t>
  </si>
  <si>
    <t>F34</t>
  </si>
  <si>
    <t>Avaliações: aprovar e retirar publicação</t>
  </si>
  <si>
    <t>API e navegador testados.</t>
  </si>
  <si>
    <t>F35</t>
  </si>
  <si>
    <t>Anúncios: conteúdo, mídia, principal, status, período e destaque</t>
  </si>
  <si>
    <t>API e navegador cobrem edição/publicação; regras novas de datas e pausa testadas localmente.</t>
  </si>
  <si>
    <t>F36</t>
  </si>
  <si>
    <t>Cupons, eventos e telefones úteis: cadastro, edição e exclusão</t>
  </si>
  <si>
    <t>CRUD e validações representativas testados na API; telas dos módulos carregam em teste de navegador.</t>
  </si>
  <si>
    <t>F37</t>
  </si>
  <si>
    <t>Planos e benefícios: imagens, anúncios, cupons, destaque, marketing e página própria</t>
  </si>
  <si>
    <t>Testes de assinatura/expiração e limites; todas as combinações de benefícios ainda não estão cobertas ponta a ponta.</t>
  </si>
  <si>
    <t>F38</t>
  </si>
  <si>
    <t>Assinaturas: vínculos, valor acordado, período, situação e renovação</t>
  </si>
  <si>
    <t>Recursos existentes testados na API; renovação automática é código local pendente de operação.</t>
  </si>
  <si>
    <t>F39</t>
  </si>
  <si>
    <t>Cobranças: emissão manual, desconto/encargos, baixa, reabertura e cancelamento</t>
  </si>
  <si>
    <t>API e navegador cobrem pagamento/reabertura e validações de valores/datas/vínculos.</t>
  </si>
  <si>
    <t>F40</t>
  </si>
  <si>
    <t>Resumo financeiro: aberto, vencido, recebido e próximos vencimentos</t>
  </si>
  <si>
    <t>Correção local testada para situação overdue explícita e exclusão de pagos/cancelados.</t>
  </si>
  <si>
    <t>F41</t>
  </si>
  <si>
    <t>Usuários: criar, vincular anunciante, redefinir senha, desativar e proteger superadministrador</t>
  </si>
  <si>
    <t>Testado na API; equipe comum não pode elevar permissões.</t>
  </si>
  <si>
    <t>F42</t>
  </si>
  <si>
    <t>Notificações de cadastro e marcação como lidas</t>
  </si>
  <si>
    <t>Geração testada na API; ações de leitura não tiveram novo teste de navegador dedicado.</t>
  </si>
  <si>
    <t>F43</t>
  </si>
  <si>
    <t>Comercial</t>
  </si>
  <si>
    <t>Publicação programada, pausa e expiração do anúncio principal</t>
  </si>
  <si>
    <t>Testes locais verificam catálogo, detalhe, imagens, cupons e avaliações, preservando dados internos. Não publicado nesta revisão.</t>
  </si>
  <si>
    <t>F44</t>
  </si>
  <si>
    <t>Cobrança recorrente sem duplicação e preservação do dia-base</t>
  </si>
  <si>
    <t>Testado localmente com cancelamento, fim e não renovação; agendamento no servidor não comprovado.</t>
  </si>
  <si>
    <t>F45</t>
  </si>
  <si>
    <t>Meta Pixel, Google Analytics e Google Ads</t>
  </si>
  <si>
    <t>Inicialização/eventos encontrados no código local. Recebimento e atribuição nas plataformas externas não validados.</t>
  </si>
  <si>
    <t>F46</t>
  </si>
  <si>
    <t>Pagamento online PIX/boleto/cartão</t>
  </si>
  <si>
    <t>Não integrado; permanece em espera conforme histórico. Cadastro de forma de pagamento e baixa manual não equivalem a gateway.</t>
  </si>
  <si>
    <t>F47</t>
  </si>
  <si>
    <t>Operação</t>
  </si>
  <si>
    <t>HTTPS do domínio principal e API</t>
  </si>
  <si>
    <t>Acesso validado por HTTPS, sem desativar verificação de certificado.</t>
  </si>
  <si>
    <t>F48</t>
  </si>
  <si>
    <t>HTTPS de barbearia-alcantara e m-espetinhos</t>
  </si>
  <si>
    <t>Bloqueado: ambos retornam certificado incompatível com o hostname. Persistência/renovação wildcard pendentes.</t>
  </si>
  <si>
    <t>F49</t>
  </si>
  <si>
    <t>Produção sem páginas técnicas de depuração</t>
  </si>
  <si>
    <t>Bloqueado: rota inexistente expõe página técnica tanto no domínio público quanto no endereço direto da API.</t>
  </si>
  <si>
    <t>F50</t>
  </si>
  <si>
    <t>Backup e integridade</t>
  </si>
  <si>
    <t>13 backups periódicos; último em 22/09 às 06:30 UTC; integridade relida como ok, metadado registra restauração aprovada. Cópia externa não comprovada.</t>
  </si>
  <si>
    <t>F51</t>
  </si>
  <si>
    <t>Banco e migrações</t>
  </si>
  <si>
    <t>SQLite em produção; PostgreSQL continua pendente conforme decisão anterior. Modelos locais sem migração faltante; migrações 0015/0016 do trabalho local não foram aplicadas remotamente nesta revisão.</t>
  </si>
  <si>
    <t>F52</t>
  </si>
  <si>
    <t>Push e aplicativo Android</t>
  </si>
  <si>
    <t>Registro push testado na API; VAPID presente e uma assinatura ativa na inspeção. Entrega em aparelho, build/distribuição do APK e experiência nativa não homologados.</t>
  </si>
  <si>
    <t>F53</t>
  </si>
  <si>
    <t>CI, monitoramento e publicação</t>
  </si>
  <si>
    <t>Scripts/workflows existem; testes executados localmente. Nenhum novo CI remoto, deploy ou alerta externo foi comprovado nesta rodada.</t>
  </si>
  <si>
    <t>F54</t>
  </si>
  <si>
    <t>Desempenho, SEO e compartilhamento</t>
  </si>
  <si>
    <t>Separação de bundles compilou; teste de carga, paginação sob volume, metadados por empresa e prévias sociais continuam pendentes.</t>
  </si>
  <si>
    <t>PLANO PARA LIBERAÇÃO</t>
  </si>
  <si>
    <t>Campos de acompanhamento são editáveis; situação inicial reflete ações ainda pendentes.</t>
  </si>
  <si>
    <t>Prioridade</t>
  </si>
  <si>
    <t>Ação concreta</t>
  </si>
  <si>
    <t>Critério de aceite</t>
  </si>
  <si>
    <t>Responsável</t>
  </si>
  <si>
    <t>Prazo</t>
  </si>
  <si>
    <t>Acompanhamento</t>
  </si>
  <si>
    <t>P01</t>
  </si>
  <si>
    <t>Bloqueio</t>
  </si>
  <si>
    <t>Restaurar e persistir certificado wildcard na configuração gerenciada da Cloudez</t>
  </si>
  <si>
    <t>Principal e ambos os subdomínios abrem com validação TLS; configuração não é substituída; renovação definida.</t>
  </si>
  <si>
    <t>P02</t>
  </si>
  <si>
    <t>Desativar DEBUG na configuração efetiva e persistente da API</t>
  </si>
  <si>
    <t>Rotas desconhecidas retornam 404 sem página técnica nos dois domínios, inclusive após reinício/reaplicação da hospedagem.</t>
  </si>
  <si>
    <t>P03</t>
  </si>
  <si>
    <t>Antes de prometer o recurso</t>
  </si>
  <si>
    <t>Corrigir/remover apresentação fictícia de interesse em eventos</t>
  </si>
  <si>
    <t>Nenhum total inventado; regra de persistência definida e testada caso o recurso seja mantido.</t>
  </si>
  <si>
    <t>P04</t>
  </si>
  <si>
    <t>Antes de disponibilizar recuperação autônoma</t>
  </si>
  <si>
    <t>Configurar envio de e-mail</t>
  </si>
  <si>
    <t>Mensagem recebida em conta de teste, link abre no domínio correto, redefine senha e não pode ser reutilizado.</t>
  </si>
  <si>
    <t>P05</t>
  </si>
  <si>
    <t>Antes de incluir no contrato</t>
  </si>
  <si>
    <t>Homologar marketing, push e Android</t>
  </si>
  <si>
    <t>Evidência de recebimento nas plataformas/dispositivo e versão identificada.</t>
  </si>
  <si>
    <t>P06</t>
  </si>
  <si>
    <t>Entrega do backlog</t>
  </si>
  <si>
    <t>Revisar pacote, migrações e publicação das alterações locais</t>
  </si>
  <si>
    <t>Backup, versão própria, instalação, verificação pós-deploy e reversão preparados. Esta auditoria não publicou o backlog.</t>
  </si>
  <si>
    <t>P07</t>
  </si>
  <si>
    <t>Finalizar PostgreSQL, backup externo e responsáveis</t>
  </si>
  <si>
    <t>Configuração/decisão registrada, recuperação comprovada e acessos sob responsabilidade definida.</t>
  </si>
  <si>
    <t>VERIFICAÇÕES EXECUTADAS</t>
  </si>
  <si>
    <t>Contagens entre rodadas podem incluir retestes; não somar linhas como se fossem testes distintos.</t>
  </si>
  <si>
    <t>Verificação</t>
  </si>
  <si>
    <t>Quantidade</t>
  </si>
  <si>
    <t>Evidência / limite</t>
  </si>
  <si>
    <t>Django check</t>
  </si>
  <si>
    <t>Aprovado</t>
  </si>
  <si>
    <t>Sem problemas identificados.</t>
  </si>
  <si>
    <t>Migrações</t>
  </si>
  <si>
    <t>Nenhuma alteração de modelo sem migração.</t>
  </si>
  <si>
    <t>API — suíte existente</t>
  </si>
  <si>
    <t>Executada antes dos cinco testes novos.</t>
  </si>
  <si>
    <t>API — recuperação de senha</t>
  </si>
  <si>
    <t>Uso único, login, e-mail desconhecido, contas restritas, senha/token inválidos e serviço ausente.</t>
  </si>
  <si>
    <t>Instalação e backup</t>
  </si>
  <si>
    <t>Testes unitários operacionais.</t>
  </si>
  <si>
    <t>Interface — rodada completa</t>
  </si>
  <si>
    <t>49 passaram; 1 falhou</t>
  </si>
  <si>
    <t>Falha de largura em 320 px posteriormente corrigida e retestada.</t>
  </si>
  <si>
    <t>Interface — reteste e novo cenário</t>
  </si>
  <si>
    <t>Formulário móvel corrigido + cópia de telefone. Total de cenários distintos aprovados: 51.</t>
  </si>
  <si>
    <t>Autenticação — regressão</t>
  </si>
  <si>
    <t>Três cenários corrigidos; também passaram na rodada completa. Não somar novamente.</t>
  </si>
  <si>
    <t>Integração com API real</t>
  </si>
  <si>
    <t>Django com banco SQLite descartável.</t>
  </si>
  <si>
    <t>TypeScript final</t>
  </si>
  <si>
    <t>npm run lint</t>
  </si>
  <si>
    <t>Build final</t>
  </si>
  <si>
    <t>npm run build; 299,70 kB principal / 89,73 kB gzip.</t>
  </si>
  <si>
    <t>Git diff check</t>
  </si>
  <si>
    <t>Sem erros de whitespace.</t>
  </si>
  <si>
    <t>Falhas iniciais de ambiente</t>
  </si>
  <si>
    <t>Resolvidas para repetição</t>
  </si>
  <si>
    <t>Watcher Vite caiu em diretório Android; worker de integração caiu na rodada concorrente. Excluídos artefatos e usado um worker de navegador.</t>
  </si>
  <si>
    <t>CORREÇÕES LOCAIS</t>
  </si>
  <si>
    <t>Alterações não publicadas nesta auditoria.</t>
  </si>
  <si>
    <t>Correção</t>
  </si>
  <si>
    <t>C01</t>
  </si>
  <si>
    <t>Removida propriedade de fotos indevida da seção de cupons, que impedia a checagem TypeScript.</t>
  </si>
  <si>
    <t>Não publicada</t>
  </si>
  <si>
    <t>C02</t>
  </si>
  <si>
    <t>Fronteiras Suspense colocadas dentro de App, junto às telas carregadas sob demanda. Os três cenários de autenticação que falhavam passaram após a mudança.</t>
  </si>
  <si>
    <t>C03</t>
  </si>
  <si>
    <t>Vite deixa de observar artefatos Android; TypeScript exclui builds nativos e resultados de testes. A primeira rodada caiu ao monitorar uma pasta gerada pelo Android no Windows.</t>
  </si>
  <si>
    <t>C04</t>
  </si>
  <si>
    <t>Formulário de fotos ajustado para não exceder a largura de celulares de 320 px.</t>
  </si>
  <si>
    <t>C05</t>
  </si>
  <si>
    <t>Cópia de telefone útil passa a tratar erro e só confirmar sucesso após a operação.</t>
  </si>
  <si>
    <t>C06</t>
  </si>
  <si>
    <t>Adicionados testes de recuperação de senha e cópia de telefone, além de scripts de auditoria somente de leitura.</t>
  </si>
  <si>
    <t>EVIDÊNCIAS E REFERÊNCIAS</t>
  </si>
  <si>
    <t>Consultas remotas somente de leitura. Os links dos arquivos são relativos à pasta docs.</t>
  </si>
  <si>
    <t>Tipo</t>
  </si>
  <si>
    <t>Fonte</t>
  </si>
  <si>
    <t>Resultado / descrição</t>
  </si>
  <si>
    <t>Relatório fonte</t>
  </si>
  <si>
    <t>docs\AUDITORIA-ENTREGA-2026-09-22.md</t>
  </si>
  <si>
    <t>Inventário, critérios e parecer original.</t>
  </si>
  <si>
    <t>validation.json</t>
  </si>
  <si>
    <t>records/2026-09-22/validation.json</t>
  </si>
  <si>
    <t>Arquivo de evidência da auditoria.</t>
  </si>
  <si>
    <t>public-audit.json</t>
  </si>
  <si>
    <t>records/2026-09-22/public-audit.json</t>
  </si>
  <si>
    <t>runtime-audit.json</t>
  </si>
  <si>
    <t>records/2026-09-22/runtime-audit.json</t>
  </si>
  <si>
    <t>backup-audit.json</t>
  </si>
  <si>
    <t>records/2026-09-22/backup-audit.json</t>
  </si>
  <si>
    <t>Consulta pública</t>
  </si>
  <si>
    <t>https://guiacomararaquara.com.br/</t>
  </si>
  <si>
    <t>{"status": 200, "content_type": "text/html", "portal_html": true}</t>
  </si>
  <si>
    <t>https://guiacomararaquara.com.br/anunciante/login</t>
  </si>
  <si>
    <t>https://guiacomararaquara.com.br/area-do-anunciante</t>
  </si>
  <si>
    <t>https://guiacomararaquara.com.br/backoffice</t>
  </si>
  <si>
    <t>https://guiacomararaquara.com.br/api/health/</t>
  </si>
  <si>
    <t>{"status": 200, "content_type": "application/json", "health": {"status": "ok", "service": "Guia Comercial Araraquara API"}}</t>
  </si>
  <si>
    <t>https://guiacomararaquara.com.br/api/categories/</t>
  </si>
  <si>
    <t>{"status": 200, "content_type": "application/json", "count": 8, "subdomains": []}</t>
  </si>
  <si>
    <t>https://guiacomararaquara.com.br/api/businesses/</t>
  </si>
  <si>
    <t>{"status": 200, "content_type": "application/json", "count": 7, "subdomains": ["barbearia-alcantara", "m-espetinhos"]}</t>
  </si>
  <si>
    <t>https://guiacomararaquara.com.br/api/reviews/</t>
  </si>
  <si>
    <t>{"status": 200, "content_type": "application/json", "count": 0, "subdomains": []}</t>
  </si>
  <si>
    <t>https://guiacomararaquara.com.br/api/coupons/</t>
  </si>
  <si>
    <t>https://guiacomararaquara.com.br/api/events/</t>
  </si>
  <si>
    <t>https://guiacomararaquara.com.br/api/useful-numbers/</t>
  </si>
  <si>
    <t>https://guiacomararaquara.com.br/api/auth/session/</t>
  </si>
  <si>
    <t>{"status": 200, "content_type": "application/json"}</t>
  </si>
  <si>
    <t>https://guiacomararaquara.com.br/api/backoffice/businesses/</t>
  </si>
  <si>
    <t>{"status": 403, "debug_page": false}</t>
  </si>
  <si>
    <t>https://guiacomararaquara.com.br/api/advertiser/portal/</t>
  </si>
  <si>
    <t>{"status": 401, "debug_page": false}</t>
  </si>
  <si>
    <t>https://guiacomararaquara.com.br/api/__gca_audit_missing__/</t>
  </si>
  <si>
    <t>{"status": 404, "debug_page": true}</t>
  </si>
  <si>
    <t>https://webapp415078.ip-45-79-2-160.cloudezapp.io/api/health/</t>
  </si>
  <si>
    <t>https://webapp415078.ip-45-79-2-160.cloudezapp.io/api/__gca_audit_missing__/</t>
  </si>
  <si>
    <t>https://barbearia-alcantara.guiacomararaquara.com.br/</t>
  </si>
  <si>
    <t>{"error": "&lt;urlopen error [SSL: CERTIFICATE_VERIFY_FAILED] certificate verify failed: Hostname mismatch, certificate is not valid for 'barbearia-alcantara.guiacomararaquara.com.br'. (_ssl.c:1081)&gt;"}</t>
  </si>
  <si>
    <t>https://m-espetinhos.guiacomararaquara.com.br/</t>
  </si>
  <si>
    <t>{"error": "&lt;urlopen error [SSL: CERTIFICATE_VERIFY_FAILED] certificate verify failed: Hostname mismatch, certificate is not valid for 'm-espetinhos.guiacomararaquara.com.br'. (_ssl.c:1081)&gt;"}</t>
  </si>
  <si>
    <t>Backup remoto</t>
  </si>
  <si>
    <t>{"checked_at": "2026-09-22T18:25:38.859188+00:00", "backups_count": 13, "latest_name": "gca-20260922T063002143114Z.sqlite3", "age_hours": 11.93, "integrity": "ok", "recorded_restore_drill": "passed"}</t>
  </si>
  <si>
    <t>Testes</t>
  </si>
  <si>
    <t>Bloqueios</t>
  </si>
  <si>
    <t>Android</t>
  </si>
  <si>
    <t>EXECUCAO-2026-09-22.md</t>
  </si>
  <si>
    <t>QUADRO-ENTREGA-GCA.xlsm</t>
  </si>
  <si>
    <t>ATUALIZAÇÃO DA AUDITORIA — 22/09/2026</t>
  </si>
  <si>
    <t>Situação</t>
  </si>
  <si>
    <t>2.3.1 r2 publicada; entrega integral ainda não aprovada.</t>
  </si>
  <si>
    <t>Correções</t>
  </si>
  <si>
    <t>DEBUG, autenticação, fotos, cópia de telefone, eventos sem totais fictícios e preservação da publicação durante revisão.</t>
  </si>
  <si>
    <t>65 API, 54 navegador, 3 integrações, 8 operacionais; CI aprovado.</t>
  </si>
  <si>
    <t>Produção</t>
  </si>
  <si>
    <t>76 arquivos conferidos; sete empresas visíveis; dados anteriores de 20 tabelas preservados na instalação.</t>
  </si>
  <si>
    <t>Verificação visual</t>
  </si>
  <si>
    <t>10 aberturas em desktop/celular sem erro JavaScript nem transbordamento; HTTPS de subdomínios ainda bloqueado.</t>
  </si>
  <si>
    <t>Certificados dos subdomínios, PostgreSQL, SMTP, dispositivos e destinos externos, conteúdo e aceite.</t>
  </si>
  <si>
    <t>Recorrência</t>
  </si>
  <si>
    <t>Cron diário instalado; execução inicial sem faturas. Falta confirmar primeira execução automática e monitoramento.</t>
  </si>
  <si>
    <t>APK debug compilado; falta homologação em dispositivo real.</t>
  </si>
  <si>
    <t>Relatório atual</t>
  </si>
  <si>
    <t>Histórico</t>
  </si>
  <si>
    <t>As demais abas preservam o diagnóstico inicial, anterior às correções e ao deploy.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</si>
</sst>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9"/>
      <color rgb="FFFFFFFF"/>
      <name val="Calibri"/>
    </font>
    <font>
      <sz val="11"/>
      <color rgb="FF17324D"/>
      <name val="Calibri"/>
    </font>
    <font>
      <b/>
      <sz val="11"/>
      <color rgb="FFFFFFFF"/>
      <name val="Calibri"/>
    </font>
    <font>
      <b/>
      <sz val="12"/>
      <color rgb="FF9C0006"/>
      <name val="Calibri"/>
    </font>
    <font>
      <u/>
      <sz val="11"/>
      <color rgb="FF0563C1"/>
      <name val="Calibri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rgb="FFFFFFFF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17324D"/>
      </patternFill>
    </fill>
    <fill>
      <patternFill patternType="solid">
        <fgColor rgb="FF087E8B"/>
      </patternFill>
    </fill>
    <fill>
      <patternFill patternType="solid">
        <fgColor rgb="FFFFC7CE"/>
      </patternFill>
    </fill>
    <fill>
      <patternFill patternType="solid">
        <fgColor rgb="FF181B34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14">
    <xf numFmtId="0" fontId="0" fillId="0" borderId="0" xfId="0"/>
    <xf numFmtId="0" fontId="3" fillId="3" borderId="0" xfId="0" applyFont="1" applyFill="1" applyAlignment="1">
      <alignment vertical="top" wrapText="1"/>
    </xf>
    <xf numFmtId="0" fontId="2" fillId="0" borderId="0" xfId="0" applyFont="1" applyAlignment="1">
      <alignment vertical="top" wrapText="1"/>
    </xf>
    <xf numFmtId="0" fontId="4" fillId="4" borderId="0" xfId="0" applyFont="1" applyFill="1" applyAlignment="1">
      <alignment vertical="top" wrapText="1"/>
    </xf>
    <xf numFmtId="14" fontId="2" fillId="0" borderId="0" xfId="0" applyNumberFormat="1" applyFont="1" applyAlignment="1">
      <alignment vertical="top" wrapText="1"/>
    </xf>
    <xf numFmtId="0" fontId="2" fillId="4" borderId="0" xfId="0" applyFont="1" applyFill="1" applyAlignment="1">
      <alignment vertical="top" wrapText="1"/>
    </xf>
    <xf numFmtId="0" fontId="5" fillId="0" borderId="0" xfId="0" applyFont="1" applyAlignment="1">
      <alignment vertical="top" wrapText="1"/>
    </xf>
    <xf numFmtId="0" fontId="0" fillId="0" borderId="0" xfId="0" applyAlignment="1">
      <alignment wrapText="1"/>
    </xf>
    <xf numFmtId="0" fontId="6" fillId="0" borderId="0" xfId="1" applyAlignment="1">
      <alignment wrapText="1"/>
    </xf>
    <xf numFmtId="0" fontId="7" fillId="0" borderId="0" xfId="0" applyFont="1" applyAlignment="1">
      <alignment wrapText="1"/>
    </xf>
    <xf numFmtId="0" fontId="8" fillId="5" borderId="0" xfId="0" applyFont="1" applyFill="1"/>
    <xf numFmtId="0" fontId="1" fillId="2" borderId="0" xfId="0" applyFont="1" applyFill="1"/>
    <xf numFmtId="0" fontId="0" fillId="0" borderId="0" xfId="0"/>
    <xf numFmtId="0" fontId="2" fillId="0" borderId="0" xfId="0" applyFont="1" applyAlignment="1">
      <alignment vertical="center" wrapText="1"/>
    </xf>
  </cellXfs>
  <cellStyles count="2">
    <cellStyle name="Hi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A4:C22">
  <autoFilter ref="A4:C22" xr:uid="{00000000-0009-0000-0100-000001000000}"/>
  <tableColumns count="3">
    <tableColumn id="1" xr3:uid="{00000000-0010-0000-0000-000001000000}" name="Indicador"/>
    <tableColumn id="2" xr3:uid="{00000000-0010-0000-0000-000002000000}" name="Resultado"/>
    <tableColumn id="3" xr3:uid="{00000000-0010-0000-0000-000003000000}" name="Observação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a2" displayName="Tabela2" ref="A4:D58">
  <autoFilter ref="A4:D58" xr:uid="{00000000-0009-0000-0100-000002000000}"/>
  <tableColumns count="4">
    <tableColumn id="1" xr3:uid="{00000000-0010-0000-0100-000001000000}" name="ID"/>
    <tableColumn id="2" xr3:uid="{00000000-0010-0000-0100-000002000000}" name="Área"/>
    <tableColumn id="3" xr3:uid="{00000000-0010-0000-0100-000003000000}" name="Funcionalidade"/>
    <tableColumn id="4" xr3:uid="{00000000-0010-0000-0100-000004000000}" name="Resultado e limite da verificação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3" displayName="Tabela3" ref="A4:G11">
  <autoFilter ref="A4:G11" xr:uid="{00000000-0009-0000-0100-000003000000}"/>
  <tableColumns count="7">
    <tableColumn id="1" xr3:uid="{00000000-0010-0000-0200-000001000000}" name="ID"/>
    <tableColumn id="2" xr3:uid="{00000000-0010-0000-0200-000002000000}" name="Prioridade"/>
    <tableColumn id="3" xr3:uid="{00000000-0010-0000-0200-000003000000}" name="Ação concreta"/>
    <tableColumn id="4" xr3:uid="{00000000-0010-0000-0200-000004000000}" name="Critério de aceite"/>
    <tableColumn id="5" xr3:uid="{00000000-0010-0000-0200-000005000000}" name="Responsável"/>
    <tableColumn id="6" xr3:uid="{00000000-0010-0000-0200-000006000000}" name="Prazo"/>
    <tableColumn id="7" xr3:uid="{00000000-0010-0000-0200-000007000000}" name="Acompanhamento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ela4" displayName="Tabela4" ref="A4:D17">
  <autoFilter ref="A4:D17" xr:uid="{00000000-0009-0000-0100-000004000000}"/>
  <tableColumns count="4">
    <tableColumn id="1" xr3:uid="{00000000-0010-0000-0300-000001000000}" name="Verificação"/>
    <tableColumn id="2" xr3:uid="{00000000-0010-0000-0300-000002000000}" name="Resultado"/>
    <tableColumn id="3" xr3:uid="{00000000-0010-0000-0300-000003000000}" name="Quantidade"/>
    <tableColumn id="4" xr3:uid="{00000000-0010-0000-0300-000004000000}" name="Evidência / limit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ela5" displayName="Tabela5" ref="A4:C10">
  <autoFilter ref="A4:C10" xr:uid="{00000000-0009-0000-0100-000005000000}"/>
  <tableColumns count="3">
    <tableColumn id="1" xr3:uid="{00000000-0010-0000-0400-000001000000}" name="ID"/>
    <tableColumn id="2" xr3:uid="{00000000-0010-0000-0400-000002000000}" name="Correção"/>
    <tableColumn id="3" xr3:uid="{00000000-0010-0000-0400-000003000000}" name="Publicação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ela6" displayName="Tabela6" ref="A4:C29">
  <autoFilter ref="A4:C29" xr:uid="{00000000-0009-0000-0100-000006000000}"/>
  <tableColumns count="3">
    <tableColumn id="1" xr3:uid="{00000000-0010-0000-0500-000001000000}" name="Tipo"/>
    <tableColumn id="2" xr3:uid="{00000000-0010-0000-0500-000002000000}" name="Fonte"/>
    <tableColumn id="3" xr3:uid="{00000000-0010-0000-0500-000003000000}" name="Resultado / descriçã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QUADRO-ENTREGA-GCA.xlsm" TargetMode="External"/><Relationship Id="rId1" Type="http://schemas.openxmlformats.org/officeDocument/2006/relationships/hyperlink" Target="EXECUCAO-2026-09-22.md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hyperlink" Target="https://guiacomararaquara.com.br/area-do-anunciante" TargetMode="External"/><Relationship Id="rId13" Type="http://schemas.openxmlformats.org/officeDocument/2006/relationships/hyperlink" Target="https://guiacomararaquara.com.br/api/reviews/" TargetMode="External"/><Relationship Id="rId18" Type="http://schemas.openxmlformats.org/officeDocument/2006/relationships/hyperlink" Target="https://guiacomararaquara.com.br/api/backoffice/businesses/" TargetMode="External"/><Relationship Id="rId26" Type="http://schemas.openxmlformats.org/officeDocument/2006/relationships/table" Target="../tables/table6.xml"/><Relationship Id="rId3" Type="http://schemas.openxmlformats.org/officeDocument/2006/relationships/hyperlink" Target="../output/auditoria/records/2026-09-22/public-audit.json" TargetMode="External"/><Relationship Id="rId21" Type="http://schemas.openxmlformats.org/officeDocument/2006/relationships/hyperlink" Target="https://webapp415078.ip-45-79-2-160.cloudezapp.io/api/health/" TargetMode="External"/><Relationship Id="rId7" Type="http://schemas.openxmlformats.org/officeDocument/2006/relationships/hyperlink" Target="https://guiacomararaquara.com.br/anunciante/login" TargetMode="External"/><Relationship Id="rId12" Type="http://schemas.openxmlformats.org/officeDocument/2006/relationships/hyperlink" Target="https://guiacomararaquara.com.br/api/businesses/" TargetMode="External"/><Relationship Id="rId17" Type="http://schemas.openxmlformats.org/officeDocument/2006/relationships/hyperlink" Target="https://guiacomararaquara.com.br/api/auth/session/" TargetMode="External"/><Relationship Id="rId25" Type="http://schemas.openxmlformats.org/officeDocument/2006/relationships/hyperlink" Target="../output/auditoria/records/2026-09-22/backup-audit.json" TargetMode="External"/><Relationship Id="rId2" Type="http://schemas.openxmlformats.org/officeDocument/2006/relationships/hyperlink" Target="../output/auditoria/records/2026-09-22/validation.json" TargetMode="External"/><Relationship Id="rId16" Type="http://schemas.openxmlformats.org/officeDocument/2006/relationships/hyperlink" Target="https://guiacomararaquara.com.br/api/useful-numbers/" TargetMode="External"/><Relationship Id="rId20" Type="http://schemas.openxmlformats.org/officeDocument/2006/relationships/hyperlink" Target="https://guiacomararaquara.com.br/api/__gca_audit_missing__/" TargetMode="External"/><Relationship Id="rId1" Type="http://schemas.openxmlformats.org/officeDocument/2006/relationships/hyperlink" Target="../output/auditoria/AUDITORIA-ENTREGA-2026-09-22.md" TargetMode="External"/><Relationship Id="rId6" Type="http://schemas.openxmlformats.org/officeDocument/2006/relationships/hyperlink" Target="https://guiacomararaquara.com.br/" TargetMode="External"/><Relationship Id="rId11" Type="http://schemas.openxmlformats.org/officeDocument/2006/relationships/hyperlink" Target="https://guiacomararaquara.com.br/api/categories/" TargetMode="External"/><Relationship Id="rId24" Type="http://schemas.openxmlformats.org/officeDocument/2006/relationships/hyperlink" Target="https://m-espetinhos.guiacomararaquara.com.br/" TargetMode="External"/><Relationship Id="rId5" Type="http://schemas.openxmlformats.org/officeDocument/2006/relationships/hyperlink" Target="../output/auditoria/records/2026-09-22/backup-audit.json" TargetMode="External"/><Relationship Id="rId15" Type="http://schemas.openxmlformats.org/officeDocument/2006/relationships/hyperlink" Target="https://guiacomararaquara.com.br/api/events/" TargetMode="External"/><Relationship Id="rId23" Type="http://schemas.openxmlformats.org/officeDocument/2006/relationships/hyperlink" Target="https://barbearia-alcantara.guiacomararaquara.com.br/" TargetMode="External"/><Relationship Id="rId10" Type="http://schemas.openxmlformats.org/officeDocument/2006/relationships/hyperlink" Target="https://guiacomararaquara.com.br/api/health/" TargetMode="External"/><Relationship Id="rId19" Type="http://schemas.openxmlformats.org/officeDocument/2006/relationships/hyperlink" Target="https://guiacomararaquara.com.br/api/advertiser/portal/" TargetMode="External"/><Relationship Id="rId4" Type="http://schemas.openxmlformats.org/officeDocument/2006/relationships/hyperlink" Target="../output/auditoria/records/2026-09-22/runtime-audit.json" TargetMode="External"/><Relationship Id="rId9" Type="http://schemas.openxmlformats.org/officeDocument/2006/relationships/hyperlink" Target="https://guiacomararaquara.com.br/backoffice" TargetMode="External"/><Relationship Id="rId14" Type="http://schemas.openxmlformats.org/officeDocument/2006/relationships/hyperlink" Target="https://guiacomararaquara.com.br/api/coupons/" TargetMode="External"/><Relationship Id="rId22" Type="http://schemas.openxmlformats.org/officeDocument/2006/relationships/hyperlink" Target="https://webapp415078.ip-45-79-2-160.cloudezapp.io/api/__gca_audit_missing__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3430A7-FC28-435B-AA2A-AA8BEFDCED82}">
  <dimension ref="A1:B13"/>
  <sheetViews>
    <sheetView tabSelected="1" workbookViewId="0">
      <selection sqref="A1:B1"/>
    </sheetView>
  </sheetViews>
  <sheetFormatPr defaultRowHeight="15" x14ac:dyDescent="0.25"/>
  <cols>
    <col min="1" max="1" width="25.7109375" customWidth="1"/>
    <col min="2" max="2" width="105.7109375" customWidth="1"/>
  </cols>
  <sheetData>
    <row r="1" spans="1:2" ht="23.25" x14ac:dyDescent="0.35">
      <c r="A1" s="10" t="s">
        <v>361</v>
      </c>
      <c r="B1" s="10"/>
    </row>
    <row r="3" spans="1:2" x14ac:dyDescent="0.25">
      <c r="A3" s="9" t="s">
        <v>362</v>
      </c>
      <c r="B3" s="7" t="s">
        <v>363</v>
      </c>
    </row>
    <row r="4" spans="1:2" ht="30" x14ac:dyDescent="0.25">
      <c r="A4" s="9" t="s">
        <v>364</v>
      </c>
      <c r="B4" s="7" t="s">
        <v>365</v>
      </c>
    </row>
    <row r="5" spans="1:2" x14ac:dyDescent="0.25">
      <c r="A5" s="9" t="s">
        <v>356</v>
      </c>
      <c r="B5" s="7" t="s">
        <v>366</v>
      </c>
    </row>
    <row r="6" spans="1:2" x14ac:dyDescent="0.25">
      <c r="A6" s="9" t="s">
        <v>367</v>
      </c>
      <c r="B6" s="7" t="s">
        <v>368</v>
      </c>
    </row>
    <row r="7" spans="1:2" ht="30" x14ac:dyDescent="0.25">
      <c r="A7" s="9" t="s">
        <v>369</v>
      </c>
      <c r="B7" s="7" t="s">
        <v>370</v>
      </c>
    </row>
    <row r="8" spans="1:2" x14ac:dyDescent="0.25">
      <c r="A8" s="9" t="s">
        <v>357</v>
      </c>
      <c r="B8" s="7" t="s">
        <v>371</v>
      </c>
    </row>
    <row r="9" spans="1:2" ht="30" x14ac:dyDescent="0.25">
      <c r="A9" s="9" t="s">
        <v>372</v>
      </c>
      <c r="B9" s="7" t="s">
        <v>373</v>
      </c>
    </row>
    <row r="10" spans="1:2" x14ac:dyDescent="0.25">
      <c r="A10" s="9" t="s">
        <v>358</v>
      </c>
      <c r="B10" s="7" t="s">
        <v>374</v>
      </c>
    </row>
    <row r="11" spans="1:2" x14ac:dyDescent="0.25">
      <c r="A11" s="9" t="s">
        <v>375</v>
      </c>
      <c r="B11" s="8" t="s">
        <v>359</v>
      </c>
    </row>
    <row r="12" spans="1:2" x14ac:dyDescent="0.25">
      <c r="A12" s="9" t="s">
        <v>229</v>
      </c>
      <c r="B12" s="8" t="s">
        <v>360</v>
      </c>
    </row>
    <row r="13" spans="1:2" x14ac:dyDescent="0.25">
      <c r="A13" s="9" t="s">
        <v>376</v>
      </c>
      <c r="B13" s="7" t="s">
        <v>377</v>
      </c>
    </row>
  </sheetData>
  <mergeCells count="1">
    <mergeCell ref="A1:B1"/>
  </mergeCells>
  <hyperlinks>
    <hyperlink ref="B11" r:id="rId1" xr:uid="{C9FF3388-7FA1-4748-A75B-F89ED26F1AAC}"/>
    <hyperlink ref="B12" r:id="rId2" xr:uid="{E23831E4-193C-4075-B58A-0607DA864CAA}"/>
  </hyperlinks>
  <pageMargins left="0.511811024" right="0.511811024" top="0.78740157499999996" bottom="0.78740157499999996" header="0.31496062000000002" footer="0.31496062000000002"/>
  <pageSetup paperSize="9" orientation="portrait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87E8B"/>
    <pageSetUpPr fitToPage="1"/>
  </sheetPr>
  <dimension ref="A1:C22"/>
  <sheetViews>
    <sheetView showGridLines="0" workbookViewId="0">
      <pane ySplit="4" topLeftCell="A5" activePane="bottomLeft" state="frozen"/>
      <selection pane="bottomLeft" sqref="A1:C1"/>
    </sheetView>
  </sheetViews>
  <sheetFormatPr defaultRowHeight="15" x14ac:dyDescent="0.25"/>
  <cols>
    <col min="1" max="1" width="32" customWidth="1"/>
    <col min="2" max="2" width="48" customWidth="1"/>
    <col min="3" max="3" width="100" customWidth="1"/>
  </cols>
  <sheetData>
    <row r="1" spans="1:3" ht="36" customHeight="1" x14ac:dyDescent="0.4">
      <c r="A1" s="11" t="s">
        <v>0</v>
      </c>
      <c r="B1" s="12"/>
      <c r="C1" s="12"/>
    </row>
    <row r="2" spans="1:3" ht="42" customHeight="1" x14ac:dyDescent="0.25">
      <c r="A2" s="13" t="s">
        <v>1</v>
      </c>
      <c r="B2" s="12"/>
      <c r="C2" s="12"/>
    </row>
    <row r="4" spans="1:3" ht="30" customHeight="1" x14ac:dyDescent="0.25">
      <c r="A4" s="1" t="s">
        <v>2</v>
      </c>
      <c r="B4" s="1" t="s">
        <v>3</v>
      </c>
      <c r="C4" s="1" t="s">
        <v>4</v>
      </c>
    </row>
    <row r="5" spans="1:3" ht="60" customHeight="1" x14ac:dyDescent="0.25">
      <c r="A5" s="2" t="s">
        <v>5</v>
      </c>
      <c r="B5" s="3" t="s">
        <v>6</v>
      </c>
      <c r="C5" s="2" t="s">
        <v>7</v>
      </c>
    </row>
    <row r="6" spans="1:3" ht="60" customHeight="1" x14ac:dyDescent="0.25">
      <c r="A6" s="2" t="s">
        <v>8</v>
      </c>
      <c r="B6" s="4">
        <v>46287</v>
      </c>
      <c r="C6" s="2" t="s">
        <v>9</v>
      </c>
    </row>
    <row r="7" spans="1:3" ht="60" customHeight="1" x14ac:dyDescent="0.25">
      <c r="A7" s="2" t="s">
        <v>10</v>
      </c>
      <c r="B7" s="2">
        <f>COUNTA(Funcionalidades!A5:A1000)</f>
        <v>54</v>
      </c>
      <c r="C7" s="2" t="s">
        <v>11</v>
      </c>
    </row>
    <row r="8" spans="1:3" ht="60" customHeight="1" x14ac:dyDescent="0.25">
      <c r="A8" s="2" t="s">
        <v>12</v>
      </c>
      <c r="B8" s="2">
        <f>COUNTA(Pendências!A5:A1000)</f>
        <v>7</v>
      </c>
      <c r="C8" s="2" t="s">
        <v>13</v>
      </c>
    </row>
    <row r="9" spans="1:3" ht="60" customHeight="1" x14ac:dyDescent="0.25">
      <c r="A9" s="2" t="s">
        <v>14</v>
      </c>
      <c r="B9" s="2">
        <v>60</v>
      </c>
      <c r="C9" s="2" t="s">
        <v>15</v>
      </c>
    </row>
    <row r="10" spans="1:3" ht="60" customHeight="1" x14ac:dyDescent="0.25">
      <c r="A10" s="2" t="s">
        <v>16</v>
      </c>
      <c r="B10" s="2">
        <v>51</v>
      </c>
      <c r="C10" s="2" t="s">
        <v>17</v>
      </c>
    </row>
    <row r="11" spans="1:3" ht="60" customHeight="1" x14ac:dyDescent="0.25">
      <c r="A11" s="2" t="s">
        <v>18</v>
      </c>
      <c r="B11" s="2">
        <v>3</v>
      </c>
      <c r="C11" s="2" t="s">
        <v>19</v>
      </c>
    </row>
    <row r="12" spans="1:3" ht="60" customHeight="1" x14ac:dyDescent="0.25">
      <c r="A12" s="2" t="s">
        <v>20</v>
      </c>
      <c r="B12" s="2">
        <v>7</v>
      </c>
      <c r="C12" s="2" t="s">
        <v>21</v>
      </c>
    </row>
    <row r="13" spans="1:3" ht="60" customHeight="1" x14ac:dyDescent="0.25">
      <c r="A13" s="2" t="s">
        <v>22</v>
      </c>
      <c r="B13" s="2" t="s">
        <v>23</v>
      </c>
      <c r="C13" s="2" t="s">
        <v>24</v>
      </c>
    </row>
    <row r="14" spans="1:3" ht="60" customHeight="1" x14ac:dyDescent="0.25">
      <c r="A14" s="2" t="s">
        <v>25</v>
      </c>
      <c r="B14" s="2" t="s">
        <v>26</v>
      </c>
      <c r="C14" s="2" t="s">
        <v>27</v>
      </c>
    </row>
    <row r="15" spans="1:3" ht="60" customHeight="1" x14ac:dyDescent="0.25">
      <c r="A15" s="2" t="s">
        <v>28</v>
      </c>
      <c r="B15" s="2" t="s">
        <v>29</v>
      </c>
      <c r="C15" s="2" t="s">
        <v>30</v>
      </c>
    </row>
    <row r="16" spans="1:3" ht="60" customHeight="1" x14ac:dyDescent="0.25">
      <c r="A16" s="2" t="s">
        <v>31</v>
      </c>
      <c r="B16" s="2" t="s">
        <v>29</v>
      </c>
      <c r="C16" s="2" t="s">
        <v>32</v>
      </c>
    </row>
    <row r="17" spans="1:3" ht="60" customHeight="1" x14ac:dyDescent="0.25">
      <c r="A17" s="2" t="s">
        <v>33</v>
      </c>
      <c r="B17" s="2" t="s">
        <v>29</v>
      </c>
      <c r="C17" s="2" t="s">
        <v>34</v>
      </c>
    </row>
    <row r="18" spans="1:3" ht="60" customHeight="1" x14ac:dyDescent="0.25">
      <c r="A18" s="2" t="s">
        <v>35</v>
      </c>
      <c r="B18" s="2" t="s">
        <v>29</v>
      </c>
      <c r="C18" s="2" t="s">
        <v>36</v>
      </c>
    </row>
    <row r="19" spans="1:3" ht="60" customHeight="1" x14ac:dyDescent="0.25">
      <c r="A19" s="2" t="s">
        <v>37</v>
      </c>
      <c r="B19" s="2" t="s">
        <v>38</v>
      </c>
      <c r="C19" s="2" t="s">
        <v>39</v>
      </c>
    </row>
    <row r="20" spans="1:3" ht="60" customHeight="1" x14ac:dyDescent="0.25">
      <c r="A20" s="2" t="s">
        <v>40</v>
      </c>
      <c r="B20" s="2" t="s">
        <v>41</v>
      </c>
      <c r="C20" s="2" t="s">
        <v>42</v>
      </c>
    </row>
    <row r="21" spans="1:3" ht="60" customHeight="1" x14ac:dyDescent="0.25">
      <c r="A21" s="2" t="s">
        <v>43</v>
      </c>
      <c r="B21" s="2" t="s">
        <v>44</v>
      </c>
      <c r="C21" s="2" t="s">
        <v>45</v>
      </c>
    </row>
    <row r="22" spans="1:3" ht="60" customHeight="1" x14ac:dyDescent="0.25">
      <c r="A22" s="2" t="s">
        <v>46</v>
      </c>
      <c r="B22" s="2" t="s">
        <v>47</v>
      </c>
      <c r="C22" s="2" t="s">
        <v>48</v>
      </c>
    </row>
  </sheetData>
  <mergeCells count="2">
    <mergeCell ref="A1:C1"/>
    <mergeCell ref="A2:C2"/>
  </mergeCells>
  <printOptions horizontalCentered="1"/>
  <pageMargins left="0.75" right="0.75" top="1" bottom="1" header="0.5" footer="0.5"/>
  <pageSetup paperSize="8" fitToHeight="0" orientation="landscape"/>
  <headerFooter>
    <oddFooter>&amp;CGuia Comercial Araraquara | Auditoria 22/09/2026 | Página &amp;P de &amp;N</oddFooter>
  </headerFooter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087E8B"/>
    <pageSetUpPr fitToPage="1"/>
  </sheetPr>
  <dimension ref="A1:D58"/>
  <sheetViews>
    <sheetView showGridLines="0" workbookViewId="0">
      <pane xSplit="2" ySplit="4" topLeftCell="C5" activePane="bottomRight" state="frozen"/>
      <selection pane="topRight"/>
      <selection pane="bottomLeft"/>
      <selection pane="bottomRight"/>
    </sheetView>
  </sheetViews>
  <sheetFormatPr defaultRowHeight="15" x14ac:dyDescent="0.25"/>
  <cols>
    <col min="1" max="1" width="9" customWidth="1"/>
    <col min="2" max="2" width="20" customWidth="1"/>
    <col min="3" max="3" width="68" customWidth="1"/>
    <col min="4" max="4" width="110" customWidth="1"/>
  </cols>
  <sheetData>
    <row r="1" spans="1:4" ht="36" customHeight="1" x14ac:dyDescent="0.4">
      <c r="A1" s="11" t="s">
        <v>49</v>
      </c>
      <c r="B1" s="12"/>
      <c r="C1" s="12"/>
      <c r="D1" s="12"/>
    </row>
    <row r="2" spans="1:4" ht="42" customHeight="1" x14ac:dyDescent="0.25">
      <c r="A2" s="13" t="s">
        <v>50</v>
      </c>
      <c r="B2" s="12"/>
      <c r="C2" s="12"/>
      <c r="D2" s="12"/>
    </row>
    <row r="4" spans="1:4" ht="30" customHeight="1" x14ac:dyDescent="0.25">
      <c r="A4" s="1" t="s">
        <v>51</v>
      </c>
      <c r="B4" s="1" t="s">
        <v>52</v>
      </c>
      <c r="C4" s="1" t="s">
        <v>53</v>
      </c>
      <c r="D4" s="1" t="s">
        <v>54</v>
      </c>
    </row>
    <row r="5" spans="1:4" ht="60" customHeight="1" x14ac:dyDescent="0.25">
      <c r="A5" s="2" t="s">
        <v>55</v>
      </c>
      <c r="B5" s="2" t="s">
        <v>56</v>
      </c>
      <c r="C5" s="2" t="s">
        <v>57</v>
      </c>
      <c r="D5" s="2" t="s">
        <v>58</v>
      </c>
    </row>
    <row r="6" spans="1:4" ht="60" customHeight="1" x14ac:dyDescent="0.25">
      <c r="A6" s="2" t="s">
        <v>59</v>
      </c>
      <c r="B6" s="2" t="s">
        <v>56</v>
      </c>
      <c r="C6" s="2" t="s">
        <v>60</v>
      </c>
      <c r="D6" s="2" t="s">
        <v>61</v>
      </c>
    </row>
    <row r="7" spans="1:4" ht="60" customHeight="1" x14ac:dyDescent="0.25">
      <c r="A7" s="2" t="s">
        <v>62</v>
      </c>
      <c r="B7" s="2" t="s">
        <v>56</v>
      </c>
      <c r="C7" s="2" t="s">
        <v>63</v>
      </c>
      <c r="D7" s="2" t="s">
        <v>64</v>
      </c>
    </row>
    <row r="8" spans="1:4" ht="60" customHeight="1" x14ac:dyDescent="0.25">
      <c r="A8" s="2" t="s">
        <v>65</v>
      </c>
      <c r="B8" s="2" t="s">
        <v>56</v>
      </c>
      <c r="C8" s="2" t="s">
        <v>66</v>
      </c>
      <c r="D8" s="2" t="s">
        <v>67</v>
      </c>
    </row>
    <row r="9" spans="1:4" ht="60" customHeight="1" x14ac:dyDescent="0.25">
      <c r="A9" s="2" t="s">
        <v>68</v>
      </c>
      <c r="B9" s="2" t="s">
        <v>56</v>
      </c>
      <c r="C9" s="2" t="s">
        <v>69</v>
      </c>
      <c r="D9" s="2" t="s">
        <v>70</v>
      </c>
    </row>
    <row r="10" spans="1:4" ht="60" customHeight="1" x14ac:dyDescent="0.25">
      <c r="A10" s="2" t="s">
        <v>71</v>
      </c>
      <c r="B10" s="2" t="s">
        <v>56</v>
      </c>
      <c r="C10" s="2" t="s">
        <v>72</v>
      </c>
      <c r="D10" s="2" t="s">
        <v>73</v>
      </c>
    </row>
    <row r="11" spans="1:4" ht="60" customHeight="1" x14ac:dyDescent="0.25">
      <c r="A11" s="2" t="s">
        <v>74</v>
      </c>
      <c r="B11" s="2" t="s">
        <v>56</v>
      </c>
      <c r="C11" s="2" t="s">
        <v>75</v>
      </c>
      <c r="D11" s="2" t="s">
        <v>76</v>
      </c>
    </row>
    <row r="12" spans="1:4" ht="60" customHeight="1" x14ac:dyDescent="0.25">
      <c r="A12" s="2" t="s">
        <v>77</v>
      </c>
      <c r="B12" s="2" t="s">
        <v>56</v>
      </c>
      <c r="C12" s="2" t="s">
        <v>78</v>
      </c>
      <c r="D12" s="2" t="s">
        <v>79</v>
      </c>
    </row>
    <row r="13" spans="1:4" ht="60" customHeight="1" x14ac:dyDescent="0.25">
      <c r="A13" s="2" t="s">
        <v>80</v>
      </c>
      <c r="B13" s="2" t="s">
        <v>56</v>
      </c>
      <c r="C13" s="2" t="s">
        <v>81</v>
      </c>
      <c r="D13" s="2" t="s">
        <v>82</v>
      </c>
    </row>
    <row r="14" spans="1:4" ht="60" customHeight="1" x14ac:dyDescent="0.25">
      <c r="A14" s="2" t="s">
        <v>83</v>
      </c>
      <c r="B14" s="2" t="s">
        <v>56</v>
      </c>
      <c r="C14" s="2" t="s">
        <v>84</v>
      </c>
      <c r="D14" s="2" t="s">
        <v>85</v>
      </c>
    </row>
    <row r="15" spans="1:4" ht="60" customHeight="1" x14ac:dyDescent="0.25">
      <c r="A15" s="2" t="s">
        <v>86</v>
      </c>
      <c r="B15" s="2" t="s">
        <v>56</v>
      </c>
      <c r="C15" s="2" t="s">
        <v>87</v>
      </c>
      <c r="D15" s="2" t="s">
        <v>88</v>
      </c>
    </row>
    <row r="16" spans="1:4" ht="60" customHeight="1" x14ac:dyDescent="0.25">
      <c r="A16" s="2" t="s">
        <v>89</v>
      </c>
      <c r="B16" s="2" t="s">
        <v>56</v>
      </c>
      <c r="C16" s="2" t="s">
        <v>90</v>
      </c>
      <c r="D16" s="2" t="s">
        <v>91</v>
      </c>
    </row>
    <row r="17" spans="1:4" ht="60" customHeight="1" x14ac:dyDescent="0.25">
      <c r="A17" s="2" t="s">
        <v>92</v>
      </c>
      <c r="B17" s="2" t="s">
        <v>56</v>
      </c>
      <c r="C17" s="2" t="s">
        <v>93</v>
      </c>
      <c r="D17" s="2" t="s">
        <v>94</v>
      </c>
    </row>
    <row r="18" spans="1:4" ht="60" customHeight="1" x14ac:dyDescent="0.25">
      <c r="A18" s="2" t="s">
        <v>95</v>
      </c>
      <c r="B18" s="2" t="s">
        <v>56</v>
      </c>
      <c r="C18" s="2" t="s">
        <v>96</v>
      </c>
      <c r="D18" s="2" t="s">
        <v>97</v>
      </c>
    </row>
    <row r="19" spans="1:4" ht="60" customHeight="1" x14ac:dyDescent="0.25">
      <c r="A19" s="2" t="s">
        <v>98</v>
      </c>
      <c r="B19" s="2" t="s">
        <v>56</v>
      </c>
      <c r="C19" s="2" t="s">
        <v>99</v>
      </c>
      <c r="D19" s="2" t="s">
        <v>100</v>
      </c>
    </row>
    <row r="20" spans="1:4" ht="60" customHeight="1" x14ac:dyDescent="0.25">
      <c r="A20" s="2" t="s">
        <v>101</v>
      </c>
      <c r="B20" s="2" t="s">
        <v>56</v>
      </c>
      <c r="C20" s="2" t="s">
        <v>102</v>
      </c>
      <c r="D20" s="2" t="s">
        <v>103</v>
      </c>
    </row>
    <row r="21" spans="1:4" ht="60" customHeight="1" x14ac:dyDescent="0.25">
      <c r="A21" s="2" t="s">
        <v>104</v>
      </c>
      <c r="B21" s="2" t="s">
        <v>56</v>
      </c>
      <c r="C21" s="2" t="s">
        <v>105</v>
      </c>
      <c r="D21" s="2" t="s">
        <v>106</v>
      </c>
    </row>
    <row r="22" spans="1:4" ht="60" customHeight="1" x14ac:dyDescent="0.25">
      <c r="A22" s="2" t="s">
        <v>107</v>
      </c>
      <c r="B22" s="2" t="s">
        <v>56</v>
      </c>
      <c r="C22" s="2" t="s">
        <v>108</v>
      </c>
      <c r="D22" s="2" t="s">
        <v>109</v>
      </c>
    </row>
    <row r="23" spans="1:4" ht="60" customHeight="1" x14ac:dyDescent="0.25">
      <c r="A23" s="2" t="s">
        <v>110</v>
      </c>
      <c r="B23" s="2" t="s">
        <v>111</v>
      </c>
      <c r="C23" s="2" t="s">
        <v>112</v>
      </c>
      <c r="D23" s="2" t="s">
        <v>113</v>
      </c>
    </row>
    <row r="24" spans="1:4" ht="60" customHeight="1" x14ac:dyDescent="0.25">
      <c r="A24" s="2" t="s">
        <v>114</v>
      </c>
      <c r="B24" s="2" t="s">
        <v>111</v>
      </c>
      <c r="C24" s="2" t="s">
        <v>115</v>
      </c>
      <c r="D24" s="2" t="s">
        <v>116</v>
      </c>
    </row>
    <row r="25" spans="1:4" ht="60" customHeight="1" x14ac:dyDescent="0.25">
      <c r="A25" s="2" t="s">
        <v>117</v>
      </c>
      <c r="B25" s="2" t="s">
        <v>111</v>
      </c>
      <c r="C25" s="2" t="s">
        <v>118</v>
      </c>
      <c r="D25" s="2" t="s">
        <v>119</v>
      </c>
    </row>
    <row r="26" spans="1:4" ht="60" customHeight="1" x14ac:dyDescent="0.25">
      <c r="A26" s="2" t="s">
        <v>120</v>
      </c>
      <c r="B26" s="2" t="s">
        <v>111</v>
      </c>
      <c r="C26" s="2" t="s">
        <v>121</v>
      </c>
      <c r="D26" s="2" t="s">
        <v>122</v>
      </c>
    </row>
    <row r="27" spans="1:4" ht="60" customHeight="1" x14ac:dyDescent="0.25">
      <c r="A27" s="2" t="s">
        <v>123</v>
      </c>
      <c r="B27" s="2" t="s">
        <v>111</v>
      </c>
      <c r="C27" s="2" t="s">
        <v>124</v>
      </c>
      <c r="D27" s="2" t="s">
        <v>125</v>
      </c>
    </row>
    <row r="28" spans="1:4" ht="60" customHeight="1" x14ac:dyDescent="0.25">
      <c r="A28" s="2" t="s">
        <v>126</v>
      </c>
      <c r="B28" s="2" t="s">
        <v>111</v>
      </c>
      <c r="C28" s="2" t="s">
        <v>127</v>
      </c>
      <c r="D28" s="2" t="s">
        <v>128</v>
      </c>
    </row>
    <row r="29" spans="1:4" ht="60" customHeight="1" x14ac:dyDescent="0.25">
      <c r="A29" s="2" t="s">
        <v>129</v>
      </c>
      <c r="B29" s="2" t="s">
        <v>111</v>
      </c>
      <c r="C29" s="2" t="s">
        <v>130</v>
      </c>
      <c r="D29" s="2" t="s">
        <v>131</v>
      </c>
    </row>
    <row r="30" spans="1:4" ht="60" customHeight="1" x14ac:dyDescent="0.25">
      <c r="A30" s="2" t="s">
        <v>132</v>
      </c>
      <c r="B30" s="2" t="s">
        <v>111</v>
      </c>
      <c r="C30" s="2" t="s">
        <v>133</v>
      </c>
      <c r="D30" s="2" t="s">
        <v>134</v>
      </c>
    </row>
    <row r="31" spans="1:4" ht="60" customHeight="1" x14ac:dyDescent="0.25">
      <c r="A31" s="2" t="s">
        <v>135</v>
      </c>
      <c r="B31" s="2" t="s">
        <v>111</v>
      </c>
      <c r="C31" s="2" t="s">
        <v>136</v>
      </c>
      <c r="D31" s="2" t="s">
        <v>137</v>
      </c>
    </row>
    <row r="32" spans="1:4" ht="60" customHeight="1" x14ac:dyDescent="0.25">
      <c r="A32" s="2" t="s">
        <v>138</v>
      </c>
      <c r="B32" s="2" t="s">
        <v>111</v>
      </c>
      <c r="C32" s="2" t="s">
        <v>139</v>
      </c>
      <c r="D32" s="2" t="s">
        <v>140</v>
      </c>
    </row>
    <row r="33" spans="1:4" ht="60" customHeight="1" x14ac:dyDescent="0.25">
      <c r="A33" s="2" t="s">
        <v>141</v>
      </c>
      <c r="B33" s="2" t="s">
        <v>111</v>
      </c>
      <c r="C33" s="2" t="s">
        <v>142</v>
      </c>
      <c r="D33" s="2" t="s">
        <v>143</v>
      </c>
    </row>
    <row r="34" spans="1:4" ht="60" customHeight="1" x14ac:dyDescent="0.25">
      <c r="A34" s="2" t="s">
        <v>144</v>
      </c>
      <c r="B34" s="2" t="s">
        <v>145</v>
      </c>
      <c r="C34" s="2" t="s">
        <v>146</v>
      </c>
      <c r="D34" s="2" t="s">
        <v>147</v>
      </c>
    </row>
    <row r="35" spans="1:4" ht="60" customHeight="1" x14ac:dyDescent="0.25">
      <c r="A35" s="2" t="s">
        <v>148</v>
      </c>
      <c r="B35" s="2" t="s">
        <v>145</v>
      </c>
      <c r="C35" s="2" t="s">
        <v>149</v>
      </c>
      <c r="D35" s="2" t="s">
        <v>150</v>
      </c>
    </row>
    <row r="36" spans="1:4" ht="60" customHeight="1" x14ac:dyDescent="0.25">
      <c r="A36" s="2" t="s">
        <v>151</v>
      </c>
      <c r="B36" s="2" t="s">
        <v>145</v>
      </c>
      <c r="C36" s="2" t="s">
        <v>152</v>
      </c>
      <c r="D36" s="2" t="s">
        <v>153</v>
      </c>
    </row>
    <row r="37" spans="1:4" ht="60" customHeight="1" x14ac:dyDescent="0.25">
      <c r="A37" s="2" t="s">
        <v>154</v>
      </c>
      <c r="B37" s="2" t="s">
        <v>145</v>
      </c>
      <c r="C37" s="2" t="s">
        <v>155</v>
      </c>
      <c r="D37" s="2" t="s">
        <v>156</v>
      </c>
    </row>
    <row r="38" spans="1:4" ht="60" customHeight="1" x14ac:dyDescent="0.25">
      <c r="A38" s="2" t="s">
        <v>157</v>
      </c>
      <c r="B38" s="2" t="s">
        <v>145</v>
      </c>
      <c r="C38" s="2" t="s">
        <v>158</v>
      </c>
      <c r="D38" s="2" t="s">
        <v>159</v>
      </c>
    </row>
    <row r="39" spans="1:4" ht="60" customHeight="1" x14ac:dyDescent="0.25">
      <c r="A39" s="2" t="s">
        <v>160</v>
      </c>
      <c r="B39" s="2" t="s">
        <v>145</v>
      </c>
      <c r="C39" s="2" t="s">
        <v>161</v>
      </c>
      <c r="D39" s="2" t="s">
        <v>162</v>
      </c>
    </row>
    <row r="40" spans="1:4" ht="60" customHeight="1" x14ac:dyDescent="0.25">
      <c r="A40" s="2" t="s">
        <v>163</v>
      </c>
      <c r="B40" s="2" t="s">
        <v>145</v>
      </c>
      <c r="C40" s="2" t="s">
        <v>164</v>
      </c>
      <c r="D40" s="2" t="s">
        <v>165</v>
      </c>
    </row>
    <row r="41" spans="1:4" ht="60" customHeight="1" x14ac:dyDescent="0.25">
      <c r="A41" s="2" t="s">
        <v>166</v>
      </c>
      <c r="B41" s="2" t="s">
        <v>145</v>
      </c>
      <c r="C41" s="2" t="s">
        <v>167</v>
      </c>
      <c r="D41" s="2" t="s">
        <v>168</v>
      </c>
    </row>
    <row r="42" spans="1:4" ht="60" customHeight="1" x14ac:dyDescent="0.25">
      <c r="A42" s="2" t="s">
        <v>169</v>
      </c>
      <c r="B42" s="2" t="s">
        <v>145</v>
      </c>
      <c r="C42" s="2" t="s">
        <v>170</v>
      </c>
      <c r="D42" s="2" t="s">
        <v>171</v>
      </c>
    </row>
    <row r="43" spans="1:4" ht="60" customHeight="1" x14ac:dyDescent="0.25">
      <c r="A43" s="2" t="s">
        <v>172</v>
      </c>
      <c r="B43" s="2" t="s">
        <v>145</v>
      </c>
      <c r="C43" s="2" t="s">
        <v>173</v>
      </c>
      <c r="D43" s="2" t="s">
        <v>174</v>
      </c>
    </row>
    <row r="44" spans="1:4" ht="60" customHeight="1" x14ac:dyDescent="0.25">
      <c r="A44" s="2" t="s">
        <v>175</v>
      </c>
      <c r="B44" s="2" t="s">
        <v>145</v>
      </c>
      <c r="C44" s="2" t="s">
        <v>176</v>
      </c>
      <c r="D44" s="2" t="s">
        <v>177</v>
      </c>
    </row>
    <row r="45" spans="1:4" ht="60" customHeight="1" x14ac:dyDescent="0.25">
      <c r="A45" s="2" t="s">
        <v>178</v>
      </c>
      <c r="B45" s="2" t="s">
        <v>145</v>
      </c>
      <c r="C45" s="2" t="s">
        <v>179</v>
      </c>
      <c r="D45" s="2" t="s">
        <v>180</v>
      </c>
    </row>
    <row r="46" spans="1:4" ht="60" customHeight="1" x14ac:dyDescent="0.25">
      <c r="A46" s="2" t="s">
        <v>181</v>
      </c>
      <c r="B46" s="2" t="s">
        <v>145</v>
      </c>
      <c r="C46" s="2" t="s">
        <v>182</v>
      </c>
      <c r="D46" s="2" t="s">
        <v>183</v>
      </c>
    </row>
    <row r="47" spans="1:4" ht="60" customHeight="1" x14ac:dyDescent="0.25">
      <c r="A47" s="2" t="s">
        <v>184</v>
      </c>
      <c r="B47" s="2" t="s">
        <v>185</v>
      </c>
      <c r="C47" s="2" t="s">
        <v>186</v>
      </c>
      <c r="D47" s="2" t="s">
        <v>187</v>
      </c>
    </row>
    <row r="48" spans="1:4" ht="60" customHeight="1" x14ac:dyDescent="0.25">
      <c r="A48" s="2" t="s">
        <v>188</v>
      </c>
      <c r="B48" s="2" t="s">
        <v>185</v>
      </c>
      <c r="C48" s="2" t="s">
        <v>189</v>
      </c>
      <c r="D48" s="2" t="s">
        <v>190</v>
      </c>
    </row>
    <row r="49" spans="1:4" ht="60" customHeight="1" x14ac:dyDescent="0.25">
      <c r="A49" s="2" t="s">
        <v>191</v>
      </c>
      <c r="B49" s="2" t="s">
        <v>185</v>
      </c>
      <c r="C49" s="2" t="s">
        <v>192</v>
      </c>
      <c r="D49" s="2" t="s">
        <v>193</v>
      </c>
    </row>
    <row r="50" spans="1:4" ht="60" customHeight="1" x14ac:dyDescent="0.25">
      <c r="A50" s="2" t="s">
        <v>194</v>
      </c>
      <c r="B50" s="2" t="s">
        <v>185</v>
      </c>
      <c r="C50" s="2" t="s">
        <v>195</v>
      </c>
      <c r="D50" s="2" t="s">
        <v>196</v>
      </c>
    </row>
    <row r="51" spans="1:4" ht="60" customHeight="1" x14ac:dyDescent="0.25">
      <c r="A51" s="2" t="s">
        <v>197</v>
      </c>
      <c r="B51" s="2" t="s">
        <v>198</v>
      </c>
      <c r="C51" s="2" t="s">
        <v>199</v>
      </c>
      <c r="D51" s="2" t="s">
        <v>200</v>
      </c>
    </row>
    <row r="52" spans="1:4" ht="60" customHeight="1" x14ac:dyDescent="0.25">
      <c r="A52" s="2" t="s">
        <v>201</v>
      </c>
      <c r="B52" s="2" t="s">
        <v>198</v>
      </c>
      <c r="C52" s="2" t="s">
        <v>202</v>
      </c>
      <c r="D52" s="2" t="s">
        <v>203</v>
      </c>
    </row>
    <row r="53" spans="1:4" ht="60" customHeight="1" x14ac:dyDescent="0.25">
      <c r="A53" s="2" t="s">
        <v>204</v>
      </c>
      <c r="B53" s="2" t="s">
        <v>198</v>
      </c>
      <c r="C53" s="2" t="s">
        <v>205</v>
      </c>
      <c r="D53" s="2" t="s">
        <v>206</v>
      </c>
    </row>
    <row r="54" spans="1:4" ht="60" customHeight="1" x14ac:dyDescent="0.25">
      <c r="A54" s="2" t="s">
        <v>207</v>
      </c>
      <c r="B54" s="2" t="s">
        <v>198</v>
      </c>
      <c r="C54" s="2" t="s">
        <v>208</v>
      </c>
      <c r="D54" s="2" t="s">
        <v>209</v>
      </c>
    </row>
    <row r="55" spans="1:4" ht="60" customHeight="1" x14ac:dyDescent="0.25">
      <c r="A55" s="2" t="s">
        <v>210</v>
      </c>
      <c r="B55" s="2" t="s">
        <v>198</v>
      </c>
      <c r="C55" s="2" t="s">
        <v>211</v>
      </c>
      <c r="D55" s="2" t="s">
        <v>212</v>
      </c>
    </row>
    <row r="56" spans="1:4" ht="60" customHeight="1" x14ac:dyDescent="0.25">
      <c r="A56" s="2" t="s">
        <v>213</v>
      </c>
      <c r="B56" s="2" t="s">
        <v>198</v>
      </c>
      <c r="C56" s="2" t="s">
        <v>214</v>
      </c>
      <c r="D56" s="2" t="s">
        <v>215</v>
      </c>
    </row>
    <row r="57" spans="1:4" ht="60" customHeight="1" x14ac:dyDescent="0.25">
      <c r="A57" s="2" t="s">
        <v>216</v>
      </c>
      <c r="B57" s="2" t="s">
        <v>198</v>
      </c>
      <c r="C57" s="2" t="s">
        <v>217</v>
      </c>
      <c r="D57" s="2" t="s">
        <v>218</v>
      </c>
    </row>
    <row r="58" spans="1:4" ht="60" customHeight="1" x14ac:dyDescent="0.25">
      <c r="A58" s="2" t="s">
        <v>219</v>
      </c>
      <c r="B58" s="2" t="s">
        <v>198</v>
      </c>
      <c r="C58" s="2" t="s">
        <v>220</v>
      </c>
      <c r="D58" s="2" t="s">
        <v>221</v>
      </c>
    </row>
  </sheetData>
  <mergeCells count="2">
    <mergeCell ref="A1:D1"/>
    <mergeCell ref="A2:D2"/>
  </mergeCells>
  <printOptions horizontalCentered="1"/>
  <pageMargins left="0.75" right="0.75" top="1" bottom="1" header="0.5" footer="0.5"/>
  <pageSetup paperSize="8" fitToHeight="0" orientation="landscape"/>
  <headerFooter>
    <oddFooter>&amp;CGuia Comercial Araraquara | Auditoria 22/09/2026 | Página &amp;P de &amp;N</oddFooter>
  </headerFooter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87E8B"/>
    <pageSetUpPr fitToPage="1"/>
  </sheetPr>
  <dimension ref="A1:G11"/>
  <sheetViews>
    <sheetView showGridLines="0" workbookViewId="0">
      <pane xSplit="2" ySplit="4" topLeftCell="C5" activePane="bottomRight" state="frozen"/>
      <selection pane="topRight"/>
      <selection pane="bottomLeft"/>
      <selection pane="bottomRight"/>
    </sheetView>
  </sheetViews>
  <sheetFormatPr defaultRowHeight="15" x14ac:dyDescent="0.25"/>
  <cols>
    <col min="1" max="1" width="9" customWidth="1"/>
    <col min="2" max="2" width="35" customWidth="1"/>
    <col min="3" max="3" width="70" customWidth="1"/>
    <col min="4" max="4" width="90" customWidth="1"/>
    <col min="5" max="5" width="25" customWidth="1"/>
    <col min="6" max="6" width="16" customWidth="1"/>
    <col min="7" max="7" width="24" customWidth="1"/>
  </cols>
  <sheetData>
    <row r="1" spans="1:7" ht="36" customHeight="1" x14ac:dyDescent="0.4">
      <c r="A1" s="11" t="s">
        <v>222</v>
      </c>
      <c r="B1" s="12"/>
      <c r="C1" s="12"/>
      <c r="D1" s="12"/>
      <c r="E1" s="12"/>
      <c r="F1" s="12"/>
      <c r="G1" s="12"/>
    </row>
    <row r="2" spans="1:7" ht="42" customHeight="1" x14ac:dyDescent="0.25">
      <c r="A2" s="13" t="s">
        <v>223</v>
      </c>
      <c r="B2" s="12"/>
      <c r="C2" s="12"/>
      <c r="D2" s="12"/>
      <c r="E2" s="12"/>
      <c r="F2" s="12"/>
      <c r="G2" s="12"/>
    </row>
    <row r="4" spans="1:7" ht="30" customHeight="1" x14ac:dyDescent="0.25">
      <c r="A4" s="1" t="s">
        <v>51</v>
      </c>
      <c r="B4" s="1" t="s">
        <v>224</v>
      </c>
      <c r="C4" s="1" t="s">
        <v>225</v>
      </c>
      <c r="D4" s="1" t="s">
        <v>226</v>
      </c>
      <c r="E4" s="1" t="s">
        <v>227</v>
      </c>
      <c r="F4" s="1" t="s">
        <v>228</v>
      </c>
      <c r="G4" s="1" t="s">
        <v>229</v>
      </c>
    </row>
    <row r="5" spans="1:7" ht="60" customHeight="1" x14ac:dyDescent="0.25">
      <c r="A5" s="2" t="s">
        <v>230</v>
      </c>
      <c r="B5" s="5" t="s">
        <v>231</v>
      </c>
      <c r="C5" s="2" t="s">
        <v>232</v>
      </c>
      <c r="D5" s="2" t="s">
        <v>233</v>
      </c>
      <c r="E5" s="2"/>
      <c r="F5" s="4"/>
      <c r="G5" s="2" t="s">
        <v>35</v>
      </c>
    </row>
    <row r="6" spans="1:7" ht="60" customHeight="1" x14ac:dyDescent="0.25">
      <c r="A6" s="2" t="s">
        <v>234</v>
      </c>
      <c r="B6" s="5" t="s">
        <v>231</v>
      </c>
      <c r="C6" s="2" t="s">
        <v>235</v>
      </c>
      <c r="D6" s="2" t="s">
        <v>236</v>
      </c>
      <c r="E6" s="2"/>
      <c r="F6" s="4"/>
      <c r="G6" s="2" t="s">
        <v>35</v>
      </c>
    </row>
    <row r="7" spans="1:7" ht="60" customHeight="1" x14ac:dyDescent="0.25">
      <c r="A7" s="2" t="s">
        <v>237</v>
      </c>
      <c r="B7" s="2" t="s">
        <v>238</v>
      </c>
      <c r="C7" s="2" t="s">
        <v>239</v>
      </c>
      <c r="D7" s="2" t="s">
        <v>240</v>
      </c>
      <c r="E7" s="2"/>
      <c r="F7" s="4"/>
      <c r="G7" s="2" t="s">
        <v>35</v>
      </c>
    </row>
    <row r="8" spans="1:7" ht="60" customHeight="1" x14ac:dyDescent="0.25">
      <c r="A8" s="2" t="s">
        <v>241</v>
      </c>
      <c r="B8" s="2" t="s">
        <v>242</v>
      </c>
      <c r="C8" s="2" t="s">
        <v>243</v>
      </c>
      <c r="D8" s="2" t="s">
        <v>244</v>
      </c>
      <c r="E8" s="2"/>
      <c r="F8" s="4"/>
      <c r="G8" s="2" t="s">
        <v>35</v>
      </c>
    </row>
    <row r="9" spans="1:7" ht="60" customHeight="1" x14ac:dyDescent="0.25">
      <c r="A9" s="2" t="s">
        <v>245</v>
      </c>
      <c r="B9" s="2" t="s">
        <v>246</v>
      </c>
      <c r="C9" s="2" t="s">
        <v>247</v>
      </c>
      <c r="D9" s="2" t="s">
        <v>248</v>
      </c>
      <c r="E9" s="2"/>
      <c r="F9" s="4"/>
      <c r="G9" s="2" t="s">
        <v>35</v>
      </c>
    </row>
    <row r="10" spans="1:7" ht="60" customHeight="1" x14ac:dyDescent="0.25">
      <c r="A10" s="2" t="s">
        <v>249</v>
      </c>
      <c r="B10" s="2" t="s">
        <v>250</v>
      </c>
      <c r="C10" s="2" t="s">
        <v>251</v>
      </c>
      <c r="D10" s="2" t="s">
        <v>252</v>
      </c>
      <c r="E10" s="2"/>
      <c r="F10" s="4"/>
      <c r="G10" s="2" t="s">
        <v>35</v>
      </c>
    </row>
    <row r="11" spans="1:7" ht="60" customHeight="1" x14ac:dyDescent="0.25">
      <c r="A11" s="2" t="s">
        <v>253</v>
      </c>
      <c r="B11" s="2" t="s">
        <v>198</v>
      </c>
      <c r="C11" s="2" t="s">
        <v>254</v>
      </c>
      <c r="D11" s="2" t="s">
        <v>255</v>
      </c>
      <c r="E11" s="2"/>
      <c r="F11" s="4"/>
      <c r="G11" s="2" t="s">
        <v>35</v>
      </c>
    </row>
  </sheetData>
  <mergeCells count="2">
    <mergeCell ref="A2:G2"/>
    <mergeCell ref="A1:G1"/>
  </mergeCells>
  <dataValidations count="1">
    <dataValidation type="list" showErrorMessage="1" errorTitle="Situação inválida" error="Escolha uma situação da lista." sqref="G5:G11" xr:uid="{00000000-0002-0000-0200-000000000000}">
      <formula1>"Pendente,Em andamento,Em validação,Concluído"</formula1>
    </dataValidation>
  </dataValidations>
  <printOptions horizontalCentered="1"/>
  <pageMargins left="0.75" right="0.75" top="1" bottom="1" header="0.5" footer="0.5"/>
  <pageSetup paperSize="8" fitToHeight="0" orientation="landscape"/>
  <headerFooter>
    <oddFooter>&amp;CGuia Comercial Araraquara | Auditoria 22/09/2026 | Página &amp;P de &amp;N</oddFooter>
  </headerFooter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087E8B"/>
    <pageSetUpPr fitToPage="1"/>
  </sheetPr>
  <dimension ref="A1:D17"/>
  <sheetViews>
    <sheetView showGridLines="0" workbookViewId="0">
      <pane xSplit="2" ySplit="4" topLeftCell="C5" activePane="bottomRight" state="frozen"/>
      <selection pane="topRight"/>
      <selection pane="bottomLeft"/>
      <selection pane="bottomRight"/>
    </sheetView>
  </sheetViews>
  <sheetFormatPr defaultRowHeight="15" x14ac:dyDescent="0.25"/>
  <cols>
    <col min="1" max="1" width="40" customWidth="1"/>
    <col min="2" max="2" width="30" customWidth="1"/>
    <col min="3" max="3" width="14" customWidth="1"/>
    <col min="4" max="4" width="115" customWidth="1"/>
  </cols>
  <sheetData>
    <row r="1" spans="1:4" ht="36" customHeight="1" x14ac:dyDescent="0.4">
      <c r="A1" s="11" t="s">
        <v>256</v>
      </c>
      <c r="B1" s="12"/>
      <c r="C1" s="12"/>
      <c r="D1" s="12"/>
    </row>
    <row r="2" spans="1:4" ht="42" customHeight="1" x14ac:dyDescent="0.25">
      <c r="A2" s="13" t="s">
        <v>257</v>
      </c>
      <c r="B2" s="12"/>
      <c r="C2" s="12"/>
      <c r="D2" s="12"/>
    </row>
    <row r="4" spans="1:4" ht="30" customHeight="1" x14ac:dyDescent="0.25">
      <c r="A4" s="1" t="s">
        <v>258</v>
      </c>
      <c r="B4" s="1" t="s">
        <v>3</v>
      </c>
      <c r="C4" s="1" t="s">
        <v>259</v>
      </c>
      <c r="D4" s="1" t="s">
        <v>260</v>
      </c>
    </row>
    <row r="5" spans="1:4" ht="60" customHeight="1" x14ac:dyDescent="0.25">
      <c r="A5" s="2" t="s">
        <v>261</v>
      </c>
      <c r="B5" s="2" t="s">
        <v>262</v>
      </c>
      <c r="C5" s="2"/>
      <c r="D5" s="2" t="s">
        <v>263</v>
      </c>
    </row>
    <row r="6" spans="1:4" ht="60" customHeight="1" x14ac:dyDescent="0.25">
      <c r="A6" s="2" t="s">
        <v>264</v>
      </c>
      <c r="B6" s="2" t="s">
        <v>262</v>
      </c>
      <c r="C6" s="2"/>
      <c r="D6" s="2" t="s">
        <v>265</v>
      </c>
    </row>
    <row r="7" spans="1:4" ht="60" customHeight="1" x14ac:dyDescent="0.25">
      <c r="A7" s="2" t="s">
        <v>266</v>
      </c>
      <c r="B7" s="2" t="s">
        <v>262</v>
      </c>
      <c r="C7" s="2">
        <v>55</v>
      </c>
      <c r="D7" s="2" t="s">
        <v>267</v>
      </c>
    </row>
    <row r="8" spans="1:4" ht="60" customHeight="1" x14ac:dyDescent="0.25">
      <c r="A8" s="2" t="s">
        <v>268</v>
      </c>
      <c r="B8" s="2" t="s">
        <v>262</v>
      </c>
      <c r="C8" s="2">
        <v>5</v>
      </c>
      <c r="D8" s="2" t="s">
        <v>269</v>
      </c>
    </row>
    <row r="9" spans="1:4" ht="60" customHeight="1" x14ac:dyDescent="0.25">
      <c r="A9" s="2" t="s">
        <v>270</v>
      </c>
      <c r="B9" s="2" t="s">
        <v>262</v>
      </c>
      <c r="C9" s="2">
        <v>7</v>
      </c>
      <c r="D9" s="2" t="s">
        <v>271</v>
      </c>
    </row>
    <row r="10" spans="1:4" ht="60" customHeight="1" x14ac:dyDescent="0.25">
      <c r="A10" s="2" t="s">
        <v>272</v>
      </c>
      <c r="B10" s="2" t="s">
        <v>273</v>
      </c>
      <c r="C10" s="2">
        <v>50</v>
      </c>
      <c r="D10" s="2" t="s">
        <v>274</v>
      </c>
    </row>
    <row r="11" spans="1:4" ht="60" customHeight="1" x14ac:dyDescent="0.25">
      <c r="A11" s="2" t="s">
        <v>275</v>
      </c>
      <c r="B11" s="2" t="s">
        <v>262</v>
      </c>
      <c r="C11" s="2">
        <v>2</v>
      </c>
      <c r="D11" s="2" t="s">
        <v>276</v>
      </c>
    </row>
    <row r="12" spans="1:4" ht="60" customHeight="1" x14ac:dyDescent="0.25">
      <c r="A12" s="2" t="s">
        <v>277</v>
      </c>
      <c r="B12" s="2" t="s">
        <v>262</v>
      </c>
      <c r="C12" s="2">
        <v>3</v>
      </c>
      <c r="D12" s="2" t="s">
        <v>278</v>
      </c>
    </row>
    <row r="13" spans="1:4" ht="60" customHeight="1" x14ac:dyDescent="0.25">
      <c r="A13" s="2" t="s">
        <v>279</v>
      </c>
      <c r="B13" s="2" t="s">
        <v>262</v>
      </c>
      <c r="C13" s="2">
        <v>3</v>
      </c>
      <c r="D13" s="2" t="s">
        <v>280</v>
      </c>
    </row>
    <row r="14" spans="1:4" ht="60" customHeight="1" x14ac:dyDescent="0.25">
      <c r="A14" s="2" t="s">
        <v>281</v>
      </c>
      <c r="B14" s="2" t="s">
        <v>262</v>
      </c>
      <c r="C14" s="2"/>
      <c r="D14" s="2" t="s">
        <v>282</v>
      </c>
    </row>
    <row r="15" spans="1:4" ht="60" customHeight="1" x14ac:dyDescent="0.25">
      <c r="A15" s="2" t="s">
        <v>283</v>
      </c>
      <c r="B15" s="2" t="s">
        <v>262</v>
      </c>
      <c r="C15" s="2"/>
      <c r="D15" s="2" t="s">
        <v>284</v>
      </c>
    </row>
    <row r="16" spans="1:4" ht="60" customHeight="1" x14ac:dyDescent="0.25">
      <c r="A16" s="2" t="s">
        <v>285</v>
      </c>
      <c r="B16" s="2" t="s">
        <v>262</v>
      </c>
      <c r="C16" s="2"/>
      <c r="D16" s="2" t="s">
        <v>286</v>
      </c>
    </row>
    <row r="17" spans="1:4" ht="60" customHeight="1" x14ac:dyDescent="0.25">
      <c r="A17" s="2" t="s">
        <v>287</v>
      </c>
      <c r="B17" s="2" t="s">
        <v>288</v>
      </c>
      <c r="C17" s="2"/>
      <c r="D17" s="2" t="s">
        <v>289</v>
      </c>
    </row>
  </sheetData>
  <mergeCells count="2">
    <mergeCell ref="A1:D1"/>
    <mergeCell ref="A2:D2"/>
  </mergeCells>
  <printOptions horizontalCentered="1"/>
  <pageMargins left="0.75" right="0.75" top="1" bottom="1" header="0.5" footer="0.5"/>
  <pageSetup paperSize="8" fitToHeight="0" orientation="landscape"/>
  <headerFooter>
    <oddFooter>&amp;CGuia Comercial Araraquara | Auditoria 22/09/2026 | Página &amp;P de &amp;N</oddFooter>
  </headerFooter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087E8B"/>
    <pageSetUpPr fitToPage="1"/>
  </sheetPr>
  <dimension ref="A1:C10"/>
  <sheetViews>
    <sheetView showGridLines="0" workbookViewId="0">
      <pane ySplit="4" topLeftCell="A5" activePane="bottomLeft" state="frozen"/>
      <selection pane="bottomLeft"/>
    </sheetView>
  </sheetViews>
  <sheetFormatPr defaultRowHeight="15" x14ac:dyDescent="0.25"/>
  <cols>
    <col min="1" max="1" width="10" customWidth="1"/>
    <col min="2" max="2" width="135" customWidth="1"/>
    <col min="3" max="3" width="25" customWidth="1"/>
  </cols>
  <sheetData>
    <row r="1" spans="1:3" ht="36" customHeight="1" x14ac:dyDescent="0.4">
      <c r="A1" s="11" t="s">
        <v>290</v>
      </c>
      <c r="B1" s="12"/>
      <c r="C1" s="12"/>
    </row>
    <row r="2" spans="1:3" ht="42" customHeight="1" x14ac:dyDescent="0.25">
      <c r="A2" s="13" t="s">
        <v>291</v>
      </c>
      <c r="B2" s="12"/>
      <c r="C2" s="12"/>
    </row>
    <row r="4" spans="1:3" ht="30" customHeight="1" x14ac:dyDescent="0.25">
      <c r="A4" s="1" t="s">
        <v>51</v>
      </c>
      <c r="B4" s="1" t="s">
        <v>292</v>
      </c>
      <c r="C4" s="1" t="s">
        <v>25</v>
      </c>
    </row>
    <row r="5" spans="1:3" ht="60" customHeight="1" x14ac:dyDescent="0.25">
      <c r="A5" s="2" t="s">
        <v>293</v>
      </c>
      <c r="B5" s="2" t="s">
        <v>294</v>
      </c>
      <c r="C5" s="2" t="s">
        <v>295</v>
      </c>
    </row>
    <row r="6" spans="1:3" ht="60" customHeight="1" x14ac:dyDescent="0.25">
      <c r="A6" s="2" t="s">
        <v>296</v>
      </c>
      <c r="B6" s="2" t="s">
        <v>297</v>
      </c>
      <c r="C6" s="2" t="s">
        <v>295</v>
      </c>
    </row>
    <row r="7" spans="1:3" ht="60" customHeight="1" x14ac:dyDescent="0.25">
      <c r="A7" s="2" t="s">
        <v>298</v>
      </c>
      <c r="B7" s="2" t="s">
        <v>299</v>
      </c>
      <c r="C7" s="2" t="s">
        <v>295</v>
      </c>
    </row>
    <row r="8" spans="1:3" ht="60" customHeight="1" x14ac:dyDescent="0.25">
      <c r="A8" s="2" t="s">
        <v>300</v>
      </c>
      <c r="B8" s="2" t="s">
        <v>301</v>
      </c>
      <c r="C8" s="2" t="s">
        <v>295</v>
      </c>
    </row>
    <row r="9" spans="1:3" ht="60" customHeight="1" x14ac:dyDescent="0.25">
      <c r="A9" s="2" t="s">
        <v>302</v>
      </c>
      <c r="B9" s="2" t="s">
        <v>303</v>
      </c>
      <c r="C9" s="2" t="s">
        <v>295</v>
      </c>
    </row>
    <row r="10" spans="1:3" ht="60" customHeight="1" x14ac:dyDescent="0.25">
      <c r="A10" s="2" t="s">
        <v>304</v>
      </c>
      <c r="B10" s="2" t="s">
        <v>305</v>
      </c>
      <c r="C10" s="2" t="s">
        <v>295</v>
      </c>
    </row>
  </sheetData>
  <mergeCells count="2">
    <mergeCell ref="A1:C1"/>
    <mergeCell ref="A2:C2"/>
  </mergeCells>
  <printOptions horizontalCentered="1"/>
  <pageMargins left="0.75" right="0.75" top="1" bottom="1" header="0.5" footer="0.5"/>
  <pageSetup paperSize="8" fitToHeight="0" orientation="landscape"/>
  <headerFooter>
    <oddFooter>&amp;CGuia Comercial Araraquara | Auditoria 22/09/2026 | Página &amp;P de &amp;N</oddFooter>
  </headerFooter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087E8B"/>
    <pageSetUpPr fitToPage="1"/>
  </sheetPr>
  <dimension ref="A1:C29"/>
  <sheetViews>
    <sheetView showGridLines="0" workbookViewId="0">
      <pane ySplit="4" topLeftCell="A5" activePane="bottomLeft" state="frozen"/>
      <selection pane="bottomLeft"/>
    </sheetView>
  </sheetViews>
  <sheetFormatPr defaultRowHeight="15" x14ac:dyDescent="0.25"/>
  <cols>
    <col min="1" max="1" width="28" customWidth="1"/>
    <col min="2" max="2" width="90" customWidth="1"/>
    <col min="3" max="3" width="105" customWidth="1"/>
  </cols>
  <sheetData>
    <row r="1" spans="1:3" ht="36" customHeight="1" x14ac:dyDescent="0.4">
      <c r="A1" s="11" t="s">
        <v>306</v>
      </c>
      <c r="B1" s="12"/>
      <c r="C1" s="12"/>
    </row>
    <row r="2" spans="1:3" ht="42" customHeight="1" x14ac:dyDescent="0.25">
      <c r="A2" s="13" t="s">
        <v>307</v>
      </c>
      <c r="B2" s="12"/>
      <c r="C2" s="12"/>
    </row>
    <row r="4" spans="1:3" ht="30" customHeight="1" x14ac:dyDescent="0.25">
      <c r="A4" s="1" t="s">
        <v>308</v>
      </c>
      <c r="B4" s="1" t="s">
        <v>309</v>
      </c>
      <c r="C4" s="1" t="s">
        <v>310</v>
      </c>
    </row>
    <row r="5" spans="1:3" ht="60" customHeight="1" x14ac:dyDescent="0.25">
      <c r="A5" s="2" t="s">
        <v>311</v>
      </c>
      <c r="B5" s="2" t="s">
        <v>312</v>
      </c>
      <c r="C5" s="2" t="s">
        <v>313</v>
      </c>
    </row>
    <row r="6" spans="1:3" ht="60" customHeight="1" x14ac:dyDescent="0.25">
      <c r="A6" s="2" t="s">
        <v>314</v>
      </c>
      <c r="B6" s="6" t="s">
        <v>315</v>
      </c>
      <c r="C6" s="2" t="s">
        <v>316</v>
      </c>
    </row>
    <row r="7" spans="1:3" ht="60" customHeight="1" x14ac:dyDescent="0.25">
      <c r="A7" s="2" t="s">
        <v>317</v>
      </c>
      <c r="B7" s="6" t="s">
        <v>318</v>
      </c>
      <c r="C7" s="2" t="s">
        <v>316</v>
      </c>
    </row>
    <row r="8" spans="1:3" ht="60" customHeight="1" x14ac:dyDescent="0.25">
      <c r="A8" s="2" t="s">
        <v>319</v>
      </c>
      <c r="B8" s="6" t="s">
        <v>320</v>
      </c>
      <c r="C8" s="2" t="s">
        <v>316</v>
      </c>
    </row>
    <row r="9" spans="1:3" ht="60" customHeight="1" x14ac:dyDescent="0.25">
      <c r="A9" s="2" t="s">
        <v>321</v>
      </c>
      <c r="B9" s="6" t="s">
        <v>322</v>
      </c>
      <c r="C9" s="2" t="s">
        <v>316</v>
      </c>
    </row>
    <row r="10" spans="1:3" ht="60" customHeight="1" x14ac:dyDescent="0.25">
      <c r="A10" s="2" t="s">
        <v>323</v>
      </c>
      <c r="B10" s="6" t="s">
        <v>324</v>
      </c>
      <c r="C10" s="2" t="s">
        <v>325</v>
      </c>
    </row>
    <row r="11" spans="1:3" ht="60" customHeight="1" x14ac:dyDescent="0.25">
      <c r="A11" s="2" t="s">
        <v>323</v>
      </c>
      <c r="B11" s="6" t="s">
        <v>326</v>
      </c>
      <c r="C11" s="2" t="s">
        <v>325</v>
      </c>
    </row>
    <row r="12" spans="1:3" ht="60" customHeight="1" x14ac:dyDescent="0.25">
      <c r="A12" s="2" t="s">
        <v>323</v>
      </c>
      <c r="B12" s="6" t="s">
        <v>327</v>
      </c>
      <c r="C12" s="2" t="s">
        <v>325</v>
      </c>
    </row>
    <row r="13" spans="1:3" ht="60" customHeight="1" x14ac:dyDescent="0.25">
      <c r="A13" s="2" t="s">
        <v>323</v>
      </c>
      <c r="B13" s="6" t="s">
        <v>328</v>
      </c>
      <c r="C13" s="2" t="s">
        <v>325</v>
      </c>
    </row>
    <row r="14" spans="1:3" ht="60" customHeight="1" x14ac:dyDescent="0.25">
      <c r="A14" s="2" t="s">
        <v>323</v>
      </c>
      <c r="B14" s="6" t="s">
        <v>329</v>
      </c>
      <c r="C14" s="2" t="s">
        <v>330</v>
      </c>
    </row>
    <row r="15" spans="1:3" ht="60" customHeight="1" x14ac:dyDescent="0.25">
      <c r="A15" s="2" t="s">
        <v>323</v>
      </c>
      <c r="B15" s="6" t="s">
        <v>331</v>
      </c>
      <c r="C15" s="2" t="s">
        <v>332</v>
      </c>
    </row>
    <row r="16" spans="1:3" ht="60" customHeight="1" x14ac:dyDescent="0.25">
      <c r="A16" s="2" t="s">
        <v>323</v>
      </c>
      <c r="B16" s="6" t="s">
        <v>333</v>
      </c>
      <c r="C16" s="2" t="s">
        <v>334</v>
      </c>
    </row>
    <row r="17" spans="1:3" ht="60" customHeight="1" x14ac:dyDescent="0.25">
      <c r="A17" s="2" t="s">
        <v>323</v>
      </c>
      <c r="B17" s="6" t="s">
        <v>335</v>
      </c>
      <c r="C17" s="2" t="s">
        <v>336</v>
      </c>
    </row>
    <row r="18" spans="1:3" ht="60" customHeight="1" x14ac:dyDescent="0.25">
      <c r="A18" s="2" t="s">
        <v>323</v>
      </c>
      <c r="B18" s="6" t="s">
        <v>337</v>
      </c>
      <c r="C18" s="2" t="s">
        <v>336</v>
      </c>
    </row>
    <row r="19" spans="1:3" ht="60" customHeight="1" x14ac:dyDescent="0.25">
      <c r="A19" s="2" t="s">
        <v>323</v>
      </c>
      <c r="B19" s="6" t="s">
        <v>338</v>
      </c>
      <c r="C19" s="2" t="s">
        <v>336</v>
      </c>
    </row>
    <row r="20" spans="1:3" ht="60" customHeight="1" x14ac:dyDescent="0.25">
      <c r="A20" s="2" t="s">
        <v>323</v>
      </c>
      <c r="B20" s="6" t="s">
        <v>339</v>
      </c>
      <c r="C20" s="2" t="s">
        <v>336</v>
      </c>
    </row>
    <row r="21" spans="1:3" ht="60" customHeight="1" x14ac:dyDescent="0.25">
      <c r="A21" s="2" t="s">
        <v>323</v>
      </c>
      <c r="B21" s="6" t="s">
        <v>340</v>
      </c>
      <c r="C21" s="2" t="s">
        <v>341</v>
      </c>
    </row>
    <row r="22" spans="1:3" ht="60" customHeight="1" x14ac:dyDescent="0.25">
      <c r="A22" s="2" t="s">
        <v>323</v>
      </c>
      <c r="B22" s="6" t="s">
        <v>342</v>
      </c>
      <c r="C22" s="2" t="s">
        <v>343</v>
      </c>
    </row>
    <row r="23" spans="1:3" ht="60" customHeight="1" x14ac:dyDescent="0.25">
      <c r="A23" s="2" t="s">
        <v>323</v>
      </c>
      <c r="B23" s="6" t="s">
        <v>344</v>
      </c>
      <c r="C23" s="2" t="s">
        <v>345</v>
      </c>
    </row>
    <row r="24" spans="1:3" ht="60" customHeight="1" x14ac:dyDescent="0.25">
      <c r="A24" s="2" t="s">
        <v>323</v>
      </c>
      <c r="B24" s="6" t="s">
        <v>346</v>
      </c>
      <c r="C24" s="2" t="s">
        <v>347</v>
      </c>
    </row>
    <row r="25" spans="1:3" ht="60" customHeight="1" x14ac:dyDescent="0.25">
      <c r="A25" s="2" t="s">
        <v>323</v>
      </c>
      <c r="B25" s="6" t="s">
        <v>348</v>
      </c>
      <c r="C25" s="2" t="s">
        <v>330</v>
      </c>
    </row>
    <row r="26" spans="1:3" ht="60" customHeight="1" x14ac:dyDescent="0.25">
      <c r="A26" s="2" t="s">
        <v>323</v>
      </c>
      <c r="B26" s="6" t="s">
        <v>349</v>
      </c>
      <c r="C26" s="2" t="s">
        <v>347</v>
      </c>
    </row>
    <row r="27" spans="1:3" ht="60" customHeight="1" x14ac:dyDescent="0.25">
      <c r="A27" s="2" t="s">
        <v>323</v>
      </c>
      <c r="B27" s="6" t="s">
        <v>350</v>
      </c>
      <c r="C27" s="2" t="s">
        <v>351</v>
      </c>
    </row>
    <row r="28" spans="1:3" ht="60" customHeight="1" x14ac:dyDescent="0.25">
      <c r="A28" s="2" t="s">
        <v>323</v>
      </c>
      <c r="B28" s="6" t="s">
        <v>352</v>
      </c>
      <c r="C28" s="2" t="s">
        <v>353</v>
      </c>
    </row>
    <row r="29" spans="1:3" ht="60" customHeight="1" x14ac:dyDescent="0.25">
      <c r="A29" s="2" t="s">
        <v>354</v>
      </c>
      <c r="B29" s="6" t="s">
        <v>322</v>
      </c>
      <c r="C29" s="2" t="s">
        <v>355</v>
      </c>
    </row>
  </sheetData>
  <mergeCells count="2">
    <mergeCell ref="A1:C1"/>
    <mergeCell ref="A2:C2"/>
  </mergeCells>
  <hyperlinks>
    <hyperlink ref="B5" r:id="rId1" xr:uid="{00000000-0004-0000-0500-000000000000}"/>
    <hyperlink ref="B6" r:id="rId2" xr:uid="{00000000-0004-0000-0500-000001000000}"/>
    <hyperlink ref="B7" r:id="rId3" xr:uid="{00000000-0004-0000-0500-000002000000}"/>
    <hyperlink ref="B8" r:id="rId4" xr:uid="{00000000-0004-0000-0500-000003000000}"/>
    <hyperlink ref="B9" r:id="rId5" xr:uid="{00000000-0004-0000-0500-000004000000}"/>
    <hyperlink ref="B10" r:id="rId6" xr:uid="{00000000-0004-0000-0500-000005000000}"/>
    <hyperlink ref="B11" r:id="rId7" xr:uid="{00000000-0004-0000-0500-000006000000}"/>
    <hyperlink ref="B12" r:id="rId8" xr:uid="{00000000-0004-0000-0500-000007000000}"/>
    <hyperlink ref="B13" r:id="rId9" xr:uid="{00000000-0004-0000-0500-000008000000}"/>
    <hyperlink ref="B14" r:id="rId10" xr:uid="{00000000-0004-0000-0500-000009000000}"/>
    <hyperlink ref="B15" r:id="rId11" xr:uid="{00000000-0004-0000-0500-00000A000000}"/>
    <hyperlink ref="B16" r:id="rId12" xr:uid="{00000000-0004-0000-0500-00000B000000}"/>
    <hyperlink ref="B17" r:id="rId13" xr:uid="{00000000-0004-0000-0500-00000C000000}"/>
    <hyperlink ref="B18" r:id="rId14" xr:uid="{00000000-0004-0000-0500-00000D000000}"/>
    <hyperlink ref="B19" r:id="rId15" xr:uid="{00000000-0004-0000-0500-00000E000000}"/>
    <hyperlink ref="B20" r:id="rId16" xr:uid="{00000000-0004-0000-0500-00000F000000}"/>
    <hyperlink ref="B21" r:id="rId17" xr:uid="{00000000-0004-0000-0500-000010000000}"/>
    <hyperlink ref="B22" r:id="rId18" xr:uid="{00000000-0004-0000-0500-000011000000}"/>
    <hyperlink ref="B23" r:id="rId19" xr:uid="{00000000-0004-0000-0500-000012000000}"/>
    <hyperlink ref="B24" r:id="rId20" xr:uid="{00000000-0004-0000-0500-000013000000}"/>
    <hyperlink ref="B25" r:id="rId21" xr:uid="{00000000-0004-0000-0500-000014000000}"/>
    <hyperlink ref="B26" r:id="rId22" xr:uid="{00000000-0004-0000-0500-000015000000}"/>
    <hyperlink ref="B27" r:id="rId23" xr:uid="{00000000-0004-0000-0500-000016000000}"/>
    <hyperlink ref="B28" r:id="rId24" xr:uid="{00000000-0004-0000-0500-000017000000}"/>
    <hyperlink ref="B29" r:id="rId25" xr:uid="{00000000-0004-0000-0500-000018000000}"/>
  </hyperlinks>
  <printOptions horizontalCentered="1"/>
  <pageMargins left="0.75" right="0.75" top="1" bottom="1" header="0.5" footer="0.5"/>
  <pageSetup paperSize="8" fitToHeight="0" orientation="landscape"/>
  <headerFooter>
    <oddFooter>&amp;CGuia Comercial Araraquara | Auditoria 22/09/2026 | Página &amp;P de &amp;N</oddFooter>
  </headerFooter>
  <tableParts count="1">
    <tablePart r:id="rId2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6</vt:i4>
      </vt:variant>
    </vt:vector>
  </HeadingPairs>
  <TitlesOfParts>
    <vt:vector size="13" baseType="lpstr">
      <vt:lpstr>Execução atual</vt:lpstr>
      <vt:lpstr>Resumo</vt:lpstr>
      <vt:lpstr>Funcionalidades</vt:lpstr>
      <vt:lpstr>Pendências</vt:lpstr>
      <vt:lpstr>Testes</vt:lpstr>
      <vt:lpstr>Correções</vt:lpstr>
      <vt:lpstr>Evidências</vt:lpstr>
      <vt:lpstr>Correções!Titulos_de_impressao</vt:lpstr>
      <vt:lpstr>Evidências!Titulos_de_impressao</vt:lpstr>
      <vt:lpstr>Funcionalidades!Titulos_de_impressao</vt:lpstr>
      <vt:lpstr>Pendências!Titulos_de_impressao</vt:lpstr>
      <vt:lpstr>Resumo!Titulos_de_impressao</vt:lpstr>
      <vt:lpstr>Testes!Titulos_de_impressao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Auditoria de entrega — Guia Comercial Araraquara</dc:title>
  <dc:subject>Funcionalidades, testes e pendências — 22/09/2026</dc:subject>
  <dc:creator>Guia Comercial Araraquara</dc:creator>
  <cp:lastModifiedBy>ANDRESSA ANTHERO</cp:lastModifiedBy>
  <dcterms:created xsi:type="dcterms:W3CDTF">2026-09-22T18:34:01Z</dcterms:created>
  <dcterms:modified xsi:type="dcterms:W3CDTF">2026-09-22T19:21:05Z</dcterms:modified>
</cp:coreProperties>
</file>